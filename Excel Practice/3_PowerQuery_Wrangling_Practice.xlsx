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6929085-04D1-4CEC-B439-BF1650EB62C0}" xr6:coauthVersionLast="47" xr6:coauthVersionMax="47" xr10:uidLastSave="{00000000-0000-0000-0000-000000000000}"/>
  <bookViews>
    <workbookView xWindow="-108" yWindow="-108" windowWidth="23256" windowHeight="12456" activeTab="2" xr2:uid="{09FA67BB-34BB-4819-A0C0-C6259079795A}"/>
  </bookViews>
  <sheets>
    <sheet name="Pivot Tables" sheetId="5" r:id="rId1"/>
    <sheet name="Charts" sheetId="7" r:id="rId2"/>
    <sheet name="EmployeeTable" sheetId="3" r:id="rId3"/>
    <sheet name="MoreEmployees" sheetId="2" r:id="rId4"/>
    <sheet name="DepartmentData" sheetId="4" r:id="rId5"/>
  </sheets>
  <definedNames>
    <definedName name="ExternalData_1" localSheetId="3" hidden="1">MoreEmployees!$A$1:$M$11</definedName>
    <definedName name="ExternalData_2" localSheetId="2" hidden="1">EmployeeTable!$A$1:$M$111</definedName>
    <definedName name="ExternalData_3" localSheetId="4" hidden="1">DepartmentData!$A$1:$C$6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" i="3" l="1"/>
  <c r="R16" i="3"/>
  <c r="R15" i="3"/>
  <c r="R13" i="3"/>
  <c r="R12" i="3"/>
  <c r="R11" i="3"/>
  <c r="Q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74C538-5EBC-4DED-B3DD-952F02D70C0D}" keepAlive="1" name="Query - DepartmentData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2" xr16:uid="{25DEB51E-5D45-4DF8-8A34-6855CC49BE3C}" keepAlive="1" name="Query - EmployeeTable" description="Connection to the 'EmployeeTable' query in the workbook." type="5" refreshedVersion="8" background="1" saveData="1">
    <dbPr connection="Provider=Microsoft.Mashup.OleDb.1;Data Source=$Workbook$;Location=EmployeeTable;Extended Properties=&quot;&quot;" command="SELECT * FROM [EmployeeTable]"/>
  </connection>
  <connection id="3" xr16:uid="{81150245-7AFC-4EA2-A9F5-6C8C45DB77AA}" keepAlive="1" name="Query - MoreEmployees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</connections>
</file>

<file path=xl/sharedStrings.xml><?xml version="1.0" encoding="utf-8"?>
<sst xmlns="http://schemas.openxmlformats.org/spreadsheetml/2006/main" count="928" uniqueCount="368">
  <si>
    <t>Index</t>
  </si>
  <si>
    <t>EmpId</t>
  </si>
  <si>
    <t>Full Name</t>
  </si>
  <si>
    <t>Email</t>
  </si>
  <si>
    <t>Department</t>
  </si>
  <si>
    <t>Join Date</t>
  </si>
  <si>
    <t>End Date</t>
  </si>
  <si>
    <t>Salary</t>
  </si>
  <si>
    <t>Bonus %</t>
  </si>
  <si>
    <t>Total Salary</t>
  </si>
  <si>
    <t>Salary Status</t>
  </si>
  <si>
    <t>Department Head</t>
  </si>
  <si>
    <t>Location</t>
  </si>
  <si>
    <t>newemp101</t>
  </si>
  <si>
    <t>New Employee 101</t>
  </si>
  <si>
    <t>newemp101@company.com</t>
  </si>
  <si>
    <t>HR</t>
  </si>
  <si>
    <t>Low</t>
  </si>
  <si>
    <t>Alice</t>
  </si>
  <si>
    <t>Mumbai</t>
  </si>
  <si>
    <t>newemp103</t>
  </si>
  <si>
    <t>New Employee 103</t>
  </si>
  <si>
    <t>newemp103@company.com</t>
  </si>
  <si>
    <t>Average</t>
  </si>
  <si>
    <t>newemp102</t>
  </si>
  <si>
    <t>New Employee 102</t>
  </si>
  <si>
    <t>newemp102@company.com</t>
  </si>
  <si>
    <t>Sales</t>
  </si>
  <si>
    <t>Bob</t>
  </si>
  <si>
    <t>Delhi</t>
  </si>
  <si>
    <t>newemp104</t>
  </si>
  <si>
    <t>New Employee 104</t>
  </si>
  <si>
    <t>newemp104@company.com</t>
  </si>
  <si>
    <t>Marketing</t>
  </si>
  <si>
    <t>Charlie</t>
  </si>
  <si>
    <t>Bangalore</t>
  </si>
  <si>
    <t>newemp105</t>
  </si>
  <si>
    <t>New Employee 105</t>
  </si>
  <si>
    <t>newemp105@company.com</t>
  </si>
  <si>
    <t>N/A</t>
  </si>
  <si>
    <t>High</t>
  </si>
  <si>
    <t>newemp106</t>
  </si>
  <si>
    <t>New Employee 106</t>
  </si>
  <si>
    <t>newemp106@company.com</t>
  </si>
  <si>
    <t>Finance</t>
  </si>
  <si>
    <t>Ethan</t>
  </si>
  <si>
    <t>Pune</t>
  </si>
  <si>
    <t>newemp107</t>
  </si>
  <si>
    <t>New Employee 107</t>
  </si>
  <si>
    <t>newemp107@company.com</t>
  </si>
  <si>
    <t>IT</t>
  </si>
  <si>
    <t>Diana</t>
  </si>
  <si>
    <t>Hyderabad</t>
  </si>
  <si>
    <t>newemp108</t>
  </si>
  <si>
    <t>New Employee 108</t>
  </si>
  <si>
    <t>newemp108@company.com</t>
  </si>
  <si>
    <t>newemp109</t>
  </si>
  <si>
    <t>New Employee 109</t>
  </si>
  <si>
    <t>newemp109@company.com</t>
  </si>
  <si>
    <t>newemp110</t>
  </si>
  <si>
    <t>New Employee 110</t>
  </si>
  <si>
    <t>newemp110@company.com</t>
  </si>
  <si>
    <t>Employee 1</t>
  </si>
  <si>
    <t>emp5</t>
  </si>
  <si>
    <t>Employee 5</t>
  </si>
  <si>
    <t>emp5@company.com</t>
  </si>
  <si>
    <t>emp2</t>
  </si>
  <si>
    <t>Employee 2</t>
  </si>
  <si>
    <t>emp2@company.com</t>
  </si>
  <si>
    <t>emp3</t>
  </si>
  <si>
    <t>Employee 3</t>
  </si>
  <si>
    <t>emp3@company.com</t>
  </si>
  <si>
    <t>emp6</t>
  </si>
  <si>
    <t>Employee 6</t>
  </si>
  <si>
    <t>emp6@company.com</t>
  </si>
  <si>
    <t>emp4</t>
  </si>
  <si>
    <t>Employee 4</t>
  </si>
  <si>
    <t>emp4@company.com</t>
  </si>
  <si>
    <t>emp7</t>
  </si>
  <si>
    <t>Employee 7</t>
  </si>
  <si>
    <t>emp7@company.com</t>
  </si>
  <si>
    <t>emp8</t>
  </si>
  <si>
    <t>Employee 8</t>
  </si>
  <si>
    <t>emp8@company.com</t>
  </si>
  <si>
    <t>emp9</t>
  </si>
  <si>
    <t>Employee 9</t>
  </si>
  <si>
    <t>emp9@company.com</t>
  </si>
  <si>
    <t>emp10</t>
  </si>
  <si>
    <t>Employee 10</t>
  </si>
  <si>
    <t>emp10@company.com</t>
  </si>
  <si>
    <t>emp11</t>
  </si>
  <si>
    <t>Employee 11</t>
  </si>
  <si>
    <t>emp11@company.com</t>
  </si>
  <si>
    <t>emp12</t>
  </si>
  <si>
    <t>Employee 12</t>
  </si>
  <si>
    <t>emp12@company.com</t>
  </si>
  <si>
    <t>emp13</t>
  </si>
  <si>
    <t>Employee 13</t>
  </si>
  <si>
    <t>emp13@company.com</t>
  </si>
  <si>
    <t>emp14</t>
  </si>
  <si>
    <t>Employee 14</t>
  </si>
  <si>
    <t>emp14@company.com</t>
  </si>
  <si>
    <t>emp15</t>
  </si>
  <si>
    <t>Employee 15</t>
  </si>
  <si>
    <t>emp15@company.com</t>
  </si>
  <si>
    <t>Employee 16</t>
  </si>
  <si>
    <t>emp17</t>
  </si>
  <si>
    <t>Employee 17</t>
  </si>
  <si>
    <t>emp17@company.com</t>
  </si>
  <si>
    <t>emp18</t>
  </si>
  <si>
    <t>Employee 18</t>
  </si>
  <si>
    <t>emp18@company.com</t>
  </si>
  <si>
    <t>emp19</t>
  </si>
  <si>
    <t>Employee 19</t>
  </si>
  <si>
    <t>emp19@company.com</t>
  </si>
  <si>
    <t>emp20</t>
  </si>
  <si>
    <t>Employee 20</t>
  </si>
  <si>
    <t>emp20@company.com</t>
  </si>
  <si>
    <t>emp21</t>
  </si>
  <si>
    <t>Employee 21</t>
  </si>
  <si>
    <t>emp21@company.com</t>
  </si>
  <si>
    <t>emp22</t>
  </si>
  <si>
    <t>Employee 22</t>
  </si>
  <si>
    <t>emp22@company.com</t>
  </si>
  <si>
    <t>emp23</t>
  </si>
  <si>
    <t>Employee 23</t>
  </si>
  <si>
    <t>emp23@company.com</t>
  </si>
  <si>
    <t>emp24</t>
  </si>
  <si>
    <t>Employee 24</t>
  </si>
  <si>
    <t>emp24@company.com</t>
  </si>
  <si>
    <t>emp25</t>
  </si>
  <si>
    <t>Employee 25</t>
  </si>
  <si>
    <t>emp25@company.com</t>
  </si>
  <si>
    <t>emp26</t>
  </si>
  <si>
    <t>Employee 26</t>
  </si>
  <si>
    <t>emp26@company.com</t>
  </si>
  <si>
    <t>emp27</t>
  </si>
  <si>
    <t>Employee 27</t>
  </si>
  <si>
    <t>emp27@company.com</t>
  </si>
  <si>
    <t>emp28</t>
  </si>
  <si>
    <t>Employee 28</t>
  </si>
  <si>
    <t>emp28@company.com</t>
  </si>
  <si>
    <t>emp29</t>
  </si>
  <si>
    <t>Employee 29</t>
  </si>
  <si>
    <t>emp29@company.com</t>
  </si>
  <si>
    <t>emp30</t>
  </si>
  <si>
    <t>Employee 30</t>
  </si>
  <si>
    <t>emp30@company.com</t>
  </si>
  <si>
    <t>Employee 31</t>
  </si>
  <si>
    <t>emp32</t>
  </si>
  <si>
    <t>Employee 32</t>
  </si>
  <si>
    <t>emp32@company.com</t>
  </si>
  <si>
    <t>emp33</t>
  </si>
  <si>
    <t>Employee 33</t>
  </si>
  <si>
    <t>emp33@company.com</t>
  </si>
  <si>
    <t>emp34</t>
  </si>
  <si>
    <t>Employee 34</t>
  </si>
  <si>
    <t>emp34@company.com</t>
  </si>
  <si>
    <t>emp35</t>
  </si>
  <si>
    <t>Employee 35</t>
  </si>
  <si>
    <t>emp35@company.com</t>
  </si>
  <si>
    <t>emp36</t>
  </si>
  <si>
    <t>Employee 36</t>
  </si>
  <si>
    <t>emp36@company.com</t>
  </si>
  <si>
    <t>emp37</t>
  </si>
  <si>
    <t>Employee 37</t>
  </si>
  <si>
    <t>emp37@company.com</t>
  </si>
  <si>
    <t>emp38</t>
  </si>
  <si>
    <t>Employee 38</t>
  </si>
  <si>
    <t>emp38@company.com</t>
  </si>
  <si>
    <t>emp39</t>
  </si>
  <si>
    <t>Employee 39</t>
  </si>
  <si>
    <t>emp39@company.com</t>
  </si>
  <si>
    <t>emp40</t>
  </si>
  <si>
    <t>Employee 40</t>
  </si>
  <si>
    <t>emp40@company.com</t>
  </si>
  <si>
    <t>emp41</t>
  </si>
  <si>
    <t>Employee 41</t>
  </si>
  <si>
    <t>emp41@company.com</t>
  </si>
  <si>
    <t>emp42</t>
  </si>
  <si>
    <t>Employee 42</t>
  </si>
  <si>
    <t>emp42@company.com</t>
  </si>
  <si>
    <t>emp43</t>
  </si>
  <si>
    <t>Employee 43</t>
  </si>
  <si>
    <t>emp43@company.com</t>
  </si>
  <si>
    <t>emp44</t>
  </si>
  <si>
    <t>Employee 44</t>
  </si>
  <si>
    <t>emp44@company.com</t>
  </si>
  <si>
    <t>emp45</t>
  </si>
  <si>
    <t>Employee 45</t>
  </si>
  <si>
    <t>emp45@company.com</t>
  </si>
  <si>
    <t>Employee 46</t>
  </si>
  <si>
    <t>emp47</t>
  </si>
  <si>
    <t>Employee 47</t>
  </si>
  <si>
    <t>emp47@company.com</t>
  </si>
  <si>
    <t>emp48</t>
  </si>
  <si>
    <t>Employee 48</t>
  </si>
  <si>
    <t>emp48@company.com</t>
  </si>
  <si>
    <t>emp49</t>
  </si>
  <si>
    <t>Employee 49</t>
  </si>
  <si>
    <t>emp49@company.com</t>
  </si>
  <si>
    <t>emp50</t>
  </si>
  <si>
    <t>Employee 50</t>
  </si>
  <si>
    <t>emp50@company.com</t>
  </si>
  <si>
    <t>emp51</t>
  </si>
  <si>
    <t>Employee 51</t>
  </si>
  <si>
    <t>emp51@company.com</t>
  </si>
  <si>
    <t>emp52</t>
  </si>
  <si>
    <t>Employee 52</t>
  </si>
  <si>
    <t>emp52@company.com</t>
  </si>
  <si>
    <t>emp53</t>
  </si>
  <si>
    <t>Employee 53</t>
  </si>
  <si>
    <t>emp53@company.com</t>
  </si>
  <si>
    <t>emp54</t>
  </si>
  <si>
    <t>Employee 54</t>
  </si>
  <si>
    <t>emp54@company.com</t>
  </si>
  <si>
    <t>emp55</t>
  </si>
  <si>
    <t>Employee 55</t>
  </si>
  <si>
    <t>emp55@company.com</t>
  </si>
  <si>
    <t>emp56</t>
  </si>
  <si>
    <t>Employee 56</t>
  </si>
  <si>
    <t>emp56@company.com</t>
  </si>
  <si>
    <t>emp57</t>
  </si>
  <si>
    <t>Employee 57</t>
  </si>
  <si>
    <t>emp57@company.com</t>
  </si>
  <si>
    <t>emp58</t>
  </si>
  <si>
    <t>Employee 58</t>
  </si>
  <si>
    <t>emp58@company.com</t>
  </si>
  <si>
    <t>emp59</t>
  </si>
  <si>
    <t>Employee 59</t>
  </si>
  <si>
    <t>emp59@company.com</t>
  </si>
  <si>
    <t>emp60</t>
  </si>
  <si>
    <t>Employee 60</t>
  </si>
  <si>
    <t>emp60@company.com</t>
  </si>
  <si>
    <t>Employee 61</t>
  </si>
  <si>
    <t>emp62</t>
  </si>
  <si>
    <t>Employee 62</t>
  </si>
  <si>
    <t>emp62@company.com</t>
  </si>
  <si>
    <t>emp63</t>
  </si>
  <si>
    <t>Employee 63</t>
  </si>
  <si>
    <t>emp63@company.com</t>
  </si>
  <si>
    <t>emp64</t>
  </si>
  <si>
    <t>Employee 64</t>
  </si>
  <si>
    <t>emp64@company.com</t>
  </si>
  <si>
    <t>emp65</t>
  </si>
  <si>
    <t>Employee 65</t>
  </si>
  <si>
    <t>emp65@company.com</t>
  </si>
  <si>
    <t>emp66</t>
  </si>
  <si>
    <t>Employee 66</t>
  </si>
  <si>
    <t>emp66@company.com</t>
  </si>
  <si>
    <t>emp67</t>
  </si>
  <si>
    <t>Employee 67</t>
  </si>
  <si>
    <t>emp67@company.com</t>
  </si>
  <si>
    <t>emp68</t>
  </si>
  <si>
    <t>Employee 68</t>
  </si>
  <si>
    <t>emp68@company.com</t>
  </si>
  <si>
    <t>emp69</t>
  </si>
  <si>
    <t>Employee 69</t>
  </si>
  <si>
    <t>emp69@company.com</t>
  </si>
  <si>
    <t>emp70</t>
  </si>
  <si>
    <t>Employee 70</t>
  </si>
  <si>
    <t>emp70@company.com</t>
  </si>
  <si>
    <t>emp71</t>
  </si>
  <si>
    <t>Employee 71</t>
  </si>
  <si>
    <t>emp71@company.com</t>
  </si>
  <si>
    <t>emp72</t>
  </si>
  <si>
    <t>Employee 72</t>
  </si>
  <si>
    <t>emp72@company.com</t>
  </si>
  <si>
    <t>emp73</t>
  </si>
  <si>
    <t>Employee 73</t>
  </si>
  <si>
    <t>emp73@company.com</t>
  </si>
  <si>
    <t>emp74</t>
  </si>
  <si>
    <t>Employee 74</t>
  </si>
  <si>
    <t>emp74@company.com</t>
  </si>
  <si>
    <t>emp75</t>
  </si>
  <si>
    <t>Employee 75</t>
  </si>
  <si>
    <t>emp75@company.com</t>
  </si>
  <si>
    <t>Employee 76</t>
  </si>
  <si>
    <t>emp77</t>
  </si>
  <si>
    <t>Employee 77</t>
  </si>
  <si>
    <t>emp77@company.com</t>
  </si>
  <si>
    <t>emp78</t>
  </si>
  <si>
    <t>Employee 78</t>
  </si>
  <si>
    <t>emp78@company.com</t>
  </si>
  <si>
    <t>emp79</t>
  </si>
  <si>
    <t>Employee 79</t>
  </si>
  <si>
    <t>emp79@company.com</t>
  </si>
  <si>
    <t>emp80</t>
  </si>
  <si>
    <t>Employee 80</t>
  </si>
  <si>
    <t>emp80@company.com</t>
  </si>
  <si>
    <t>emp81</t>
  </si>
  <si>
    <t>Employee 81</t>
  </si>
  <si>
    <t>emp81@company.com</t>
  </si>
  <si>
    <t>emp82</t>
  </si>
  <si>
    <t>Employee 82</t>
  </si>
  <si>
    <t>emp82@company.com</t>
  </si>
  <si>
    <t>emp83</t>
  </si>
  <si>
    <t>Employee 83</t>
  </si>
  <si>
    <t>emp83@company.com</t>
  </si>
  <si>
    <t>emp84</t>
  </si>
  <si>
    <t>Employee 84</t>
  </si>
  <si>
    <t>emp84@company.com</t>
  </si>
  <si>
    <t>emp85</t>
  </si>
  <si>
    <t>Employee 85</t>
  </si>
  <si>
    <t>emp85@company.com</t>
  </si>
  <si>
    <t>emp86</t>
  </si>
  <si>
    <t>Employee 86</t>
  </si>
  <si>
    <t>emp86@company.com</t>
  </si>
  <si>
    <t>emp87</t>
  </si>
  <si>
    <t>Employee 87</t>
  </si>
  <si>
    <t>emp87@company.com</t>
  </si>
  <si>
    <t>emp88</t>
  </si>
  <si>
    <t>Employee 88</t>
  </si>
  <si>
    <t>emp88@company.com</t>
  </si>
  <si>
    <t>emp89</t>
  </si>
  <si>
    <t>Employee 89</t>
  </si>
  <si>
    <t>emp89@company.com</t>
  </si>
  <si>
    <t>emp90</t>
  </si>
  <si>
    <t>Employee 90</t>
  </si>
  <si>
    <t>emp90@company.com</t>
  </si>
  <si>
    <t>Employee 91</t>
  </si>
  <si>
    <t>emp92</t>
  </si>
  <si>
    <t>Employee 92</t>
  </si>
  <si>
    <t>emp92@company.com</t>
  </si>
  <si>
    <t>emp93</t>
  </si>
  <si>
    <t>Employee 93</t>
  </si>
  <si>
    <t>emp93@company.com</t>
  </si>
  <si>
    <t>emp94</t>
  </si>
  <si>
    <t>Employee 94</t>
  </si>
  <si>
    <t>emp94@company.com</t>
  </si>
  <si>
    <t>emp95</t>
  </si>
  <si>
    <t>Employee 95</t>
  </si>
  <si>
    <t>emp95@company.com</t>
  </si>
  <si>
    <t>emp96</t>
  </si>
  <si>
    <t>Employee 96</t>
  </si>
  <si>
    <t>emp96@company.com</t>
  </si>
  <si>
    <t>emp97</t>
  </si>
  <si>
    <t>Employee 97</t>
  </si>
  <si>
    <t>emp97@company.com</t>
  </si>
  <si>
    <t>emp98</t>
  </si>
  <si>
    <t>Employee 98</t>
  </si>
  <si>
    <t>emp98@company.com</t>
  </si>
  <si>
    <t>emp99</t>
  </si>
  <si>
    <t>Employee 99</t>
  </si>
  <si>
    <t>emp99@company.com</t>
  </si>
  <si>
    <t>emp100</t>
  </si>
  <si>
    <t>Employee 100</t>
  </si>
  <si>
    <t>emp100@company.com</t>
  </si>
  <si>
    <t>emp1</t>
  </si>
  <si>
    <t>emp16</t>
  </si>
  <si>
    <t>emp31</t>
  </si>
  <si>
    <t>emp46</t>
  </si>
  <si>
    <t>emp61</t>
  </si>
  <si>
    <t>emp76</t>
  </si>
  <si>
    <t>emp91</t>
  </si>
  <si>
    <t>Total Employees with N/A Department</t>
  </si>
  <si>
    <t>Salary Distribution</t>
  </si>
  <si>
    <t xml:space="preserve">Low </t>
  </si>
  <si>
    <t>Number of Employees</t>
  </si>
  <si>
    <t xml:space="preserve">Average Salary </t>
  </si>
  <si>
    <t>Average Total Salary</t>
  </si>
  <si>
    <t>Average Bonus %</t>
  </si>
  <si>
    <t>Row Labels</t>
  </si>
  <si>
    <t>Grand Total</t>
  </si>
  <si>
    <t>Count of EmpId</t>
  </si>
  <si>
    <t>Sum of Salary</t>
  </si>
  <si>
    <t/>
  </si>
  <si>
    <t>Sum of 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</si>
</sst>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[3_PowerQuery_Wrangling_Practice.xlsx]Charts!PivotTable33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Sum of Bonus %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Charts!$A$4:$A$9</c:f>
              <c:strCache>
                <c:ptCount val="6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  <c:pt idx="4">
                  <c:v>N/A</c:v>
                </c:pt>
                <c:pt idx="5">
                  <c:v>Pune</c:v>
                </c:pt>
              </c:strCache>
            </c:strRef>
          </c:cat>
          <c:val>
            <c:numRef>
              <c:f>Charts!$B$4:$B$9</c:f>
              <c:numCache>
                <c:formatCode>General</c:formatCode>
                <c:ptCount val="6"/>
                <c:pt idx="0">
                  <c:v>2.5600000000000005</c:v>
                </c:pt>
                <c:pt idx="1">
                  <c:v>2.23</c:v>
                </c:pt>
                <c:pt idx="2">
                  <c:v>2.6799999999999997</c:v>
                </c:pt>
                <c:pt idx="3">
                  <c:v>1.8699999999999999</c:v>
                </c:pt>
                <c:pt idx="4">
                  <c:v>3.16</c:v>
                </c:pt>
                <c:pt idx="5">
                  <c:v>3.5900000000000003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7-41A9-86F8-FC3C8254C0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3818815"/>
        <c:axId val="2093835615"/>
      </c:barChart>
      <c:catAx>
        <c:axId val="2093818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LOCATION</a:t>
                </a:r>
              </a:p>
            </c:rich>
          </c:tx>
          <c:layout>
            <c:manualLayout>
              <c:xMode val="edge"/>
              <c:yMode val="edge"/>
              <c:x val="0.46129286626333871"/>
              <c:y val="0.88716152839829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35615"/>
        <c:crosses val="autoZero"/>
        <c:auto val="1"/>
        <c:lblAlgn val="ctr"/>
        <c:lblOffset val="100"/>
        <c:noMultiLvlLbl val="0"/>
      </c:catAx>
      <c:valAx>
        <c:axId val="209383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BONUS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1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/>
              <a:t>Salary Distribution of Employees</a:t>
            </a:r>
          </a:p>
        </c:rich>
      </c:tx>
      <c:layout>
        <c:manualLayout>
          <c:xMode val="edge"/>
          <c:yMode val="edge"/>
          <c:x val="5.8477331611683586E-2"/>
          <c:y val="1.7089489492991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01893814720103E-2"/>
          <c:y val="0.1775025880729052"/>
          <c:w val="0.4268141268453538"/>
          <c:h val="0.61556451359914677"/>
        </c:manualLayout>
      </c:layout>
      <c:doughnutChart>
        <c:varyColors val="1"/>
        <c:ser>
          <c:idx val="0"/>
          <c:order val="0"/>
          <c:tx>
            <c:strRef>
              <c:f>EmployeeTable!$R$10</c:f>
              <c:strCache>
                <c:ptCount val="1"/>
                <c:pt idx="0">
                  <c:v>Number of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14-4E27-8698-D2C49E1AD76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14-4E27-8698-D2C49E1AD76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714-4E27-8698-D2C49E1AD7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EmployeeTable!$Q$11:$Q$13</c:f>
              <c:strCache>
                <c:ptCount val="3"/>
                <c:pt idx="0">
                  <c:v>Low </c:v>
                </c:pt>
                <c:pt idx="1">
                  <c:v>Average</c:v>
                </c:pt>
                <c:pt idx="2">
                  <c:v>High</c:v>
                </c:pt>
              </c:strCache>
            </c:strRef>
          </c:cat>
          <c:val>
            <c:numRef>
              <c:f>EmployeeTable!$R$11:$R$13</c:f>
              <c:numCache>
                <c:formatCode>General</c:formatCode>
                <c:ptCount val="3"/>
                <c:pt idx="0">
                  <c:v>46</c:v>
                </c:pt>
                <c:pt idx="1">
                  <c:v>27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14-4E27-8698-D2C49E1AD7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801632145564896"/>
          <c:y val="0.32952285346801768"/>
          <c:w val="0.31439567940516372"/>
          <c:h val="0.42729867929855381"/>
        </c:manualLayout>
      </c:layout>
      <c:overlay val="1"/>
      <c:spPr>
        <a:solidFill>
          <a:schemeClr val="bg1">
            <a:alpha val="78000"/>
          </a:schemeClr>
        </a:solidFill>
        <a:ln>
          <a:solidFill>
            <a:schemeClr val="tx1"/>
          </a:solidFill>
        </a:ln>
        <a:effectLst>
          <a:outerShdw blurRad="38100" dist="88900" dir="5400000" sx="102000" sy="102000" algn="ctr" rotWithShape="0">
            <a:schemeClr val="bg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1</xdr:row>
      <xdr:rowOff>121920</xdr:rowOff>
    </xdr:from>
    <xdr:to>
      <xdr:col>22</xdr:col>
      <xdr:colOff>71120</xdr:colOff>
      <xdr:row>30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B0882-F537-41DC-BE75-06A470D7F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416561</xdr:colOff>
      <xdr:row>33</xdr:row>
      <xdr:rowOff>71120</xdr:rowOff>
    </xdr:from>
    <xdr:to>
      <xdr:col>13</xdr:col>
      <xdr:colOff>60960</xdr:colOff>
      <xdr:row>61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B5E254-A98C-4A5D-ADCF-6F2B1E872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980737152779" createdVersion="8" refreshedVersion="8" minRefreshableVersion="3" recordCount="110" xr:uid="{5D0A5AD5-0BA4-407E-A093-F6975AA01DF7}">
  <cacheSource type="worksheet">
    <worksheetSource name="EmployeeTable"/>
  </cacheSource>
  <cacheFields count="13">
    <cacheField name="Index" numFmtId="0">
      <sharedItems containsSemiMixedTypes="0" containsString="0" containsNumber="1" containsInteger="1" minValue="1" maxValue="110"/>
    </cacheField>
    <cacheField name="EmpId" numFmtId="0">
      <sharedItems count="110">
        <s v="emp1"/>
        <s v="emp5"/>
        <s v="emp2"/>
        <s v="emp3"/>
        <s v="emp6"/>
        <s v="emp4"/>
        <s v="emp7"/>
        <s v="emp8"/>
        <s v="emp9"/>
        <s v="emp10"/>
        <s v="emp11"/>
        <s v="emp12"/>
        <s v="emp13"/>
        <s v="emp14"/>
        <s v="emp15"/>
        <s v="emp16"/>
        <s v="emp17"/>
        <s v="emp18"/>
        <s v="emp19"/>
        <s v="emp20"/>
        <s v="emp21"/>
        <s v="emp22"/>
        <s v="emp23"/>
        <s v="emp24"/>
        <s v="emp25"/>
        <s v="emp26"/>
        <s v="emp27"/>
        <s v="emp28"/>
        <s v="emp29"/>
        <s v="emp30"/>
        <s v="emp31"/>
        <s v="emp32"/>
        <s v="emp33"/>
        <s v="emp34"/>
        <s v="emp35"/>
        <s v="emp36"/>
        <s v="emp37"/>
        <s v="emp38"/>
        <s v="emp39"/>
        <s v="emp40"/>
        <s v="emp41"/>
        <s v="emp42"/>
        <s v="emp43"/>
        <s v="emp44"/>
        <s v="emp45"/>
        <s v="emp46"/>
        <s v="emp47"/>
        <s v="emp48"/>
        <s v="emp49"/>
        <s v="emp50"/>
        <s v="emp51"/>
        <s v="emp52"/>
        <s v="emp53"/>
        <s v="emp54"/>
        <s v="emp55"/>
        <s v="emp56"/>
        <s v="emp57"/>
        <s v="emp58"/>
        <s v="emp59"/>
        <s v="emp60"/>
        <s v="emp61"/>
        <s v="emp62"/>
        <s v="emp63"/>
        <s v="emp64"/>
        <s v="emp65"/>
        <s v="emp66"/>
        <s v="emp67"/>
        <s v="emp68"/>
        <s v="emp69"/>
        <s v="emp70"/>
        <s v="emp71"/>
        <s v="emp72"/>
        <s v="emp73"/>
        <s v="emp74"/>
        <s v="emp75"/>
        <s v="emp76"/>
        <s v="emp77"/>
        <s v="emp78"/>
        <s v="emp79"/>
        <s v="emp80"/>
        <s v="emp81"/>
        <s v="emp82"/>
        <s v="emp83"/>
        <s v="emp84"/>
        <s v="emp85"/>
        <s v="emp86"/>
        <s v="emp87"/>
        <s v="emp88"/>
        <s v="emp89"/>
        <s v="emp90"/>
        <s v="emp91"/>
        <s v="emp92"/>
        <s v="emp93"/>
        <s v="emp94"/>
        <s v="emp95"/>
        <s v="emp96"/>
        <s v="emp97"/>
        <s v="emp98"/>
        <s v="emp99"/>
        <s v="emp100"/>
        <s v="newemp101"/>
        <s v="newemp103"/>
        <s v="newemp102"/>
        <s v="newemp104"/>
        <s v="newemp105"/>
        <s v="newemp106"/>
        <s v="newemp107"/>
        <s v="newemp108"/>
        <s v="newemp109"/>
        <s v="newemp110"/>
      </sharedItems>
    </cacheField>
    <cacheField name="Full Name" numFmtId="0">
      <sharedItems/>
    </cacheField>
    <cacheField name="Email" numFmtId="0">
      <sharedItems/>
    </cacheField>
    <cacheField name="Department" numFmtId="0">
      <sharedItems count="6">
        <s v="Sales"/>
        <s v="HR"/>
        <s v="Finance"/>
        <s v="N/A"/>
        <s v="IT"/>
        <s v="Marketing"/>
      </sharedItems>
    </cacheField>
    <cacheField name="Join Date" numFmtId="14">
      <sharedItems containsSemiMixedTypes="0" containsNonDate="0" containsDate="1" containsString="0" minDate="2022-01-08T00:00:00" maxDate="2024-06-11T00:00:00"/>
    </cacheField>
    <cacheField name="End Date" numFmtId="14">
      <sharedItems containsSemiMixedTypes="0" containsNonDate="0" containsDate="1" containsString="0" minDate="2022-02-02T00:00:00" maxDate="2024-07-27T00:00:00"/>
    </cacheField>
    <cacheField name="Salary" numFmtId="164">
      <sharedItems containsSemiMixedTypes="0" containsString="0" containsNumber="1" containsInteger="1" minValue="30161" maxValue="89900"/>
    </cacheField>
    <cacheField name="Bonus %" numFmtId="0">
      <sharedItems containsSemiMixedTypes="0" containsString="0" containsNumber="1" minValue="0.05" maxValue="0.25"/>
    </cacheField>
    <cacheField name="Total Salary" numFmtId="164">
      <sharedItems containsSemiMixedTypes="0" containsString="0" containsNumber="1" minValue="33478.71" maxValue="107682"/>
    </cacheField>
    <cacheField name="Salary Status" numFmtId="0">
      <sharedItems count="3">
        <s v="High"/>
        <s v="Low"/>
        <s v="Average"/>
      </sharedItems>
    </cacheField>
    <cacheField name="Department Head" numFmtId="0">
      <sharedItems/>
    </cacheField>
    <cacheField name="Location" numFmtId="0">
      <sharedItems count="6">
        <s v="Delhi"/>
        <s v="Mumbai"/>
        <s v="Pune"/>
        <s v="N/A"/>
        <s v="Hyderabad"/>
        <s v="Bangal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5.988974884262" createdVersion="8" refreshedVersion="8" minRefreshableVersion="3" recordCount="110" xr:uid="{C544ADC9-E7C3-4DE9-AA2A-8317A20B5D2C}">
  <cacheSource type="worksheet">
    <worksheetSource name="EmployeeTable"/>
  </cacheSource>
  <cacheFields count="13">
    <cacheField name="Index" numFmtId="0">
      <sharedItems containsSemiMixedTypes="0" containsString="0" containsNumber="1" containsInteger="1" minValue="1" maxValue="110"/>
    </cacheField>
    <cacheField name="EmpId" numFmtId="0">
      <sharedItems/>
    </cacheField>
    <cacheField name="Full Name" numFmtId="0">
      <sharedItems/>
    </cacheField>
    <cacheField name="Email" numFmtId="0">
      <sharedItems/>
    </cacheField>
    <cacheField name="Department" numFmtId="0">
      <sharedItems/>
    </cacheField>
    <cacheField name="Join Date" numFmtId="14">
      <sharedItems containsSemiMixedTypes="0" containsNonDate="0" containsDate="1" containsString="0" minDate="2022-01-08T00:00:00" maxDate="2024-06-11T00:00:00"/>
    </cacheField>
    <cacheField name="End Date" numFmtId="14">
      <sharedItems containsSemiMixedTypes="0" containsNonDate="0" containsDate="1" containsString="0" minDate="2022-02-02T00:00:00" maxDate="2024-07-27T00:00:00"/>
    </cacheField>
    <cacheField name="Salary" numFmtId="164">
      <sharedItems containsSemiMixedTypes="0" containsString="0" containsNumber="1" containsInteger="1" minValue="30161" maxValue="89900"/>
    </cacheField>
    <cacheField name="Bonus %" numFmtId="0">
      <sharedItems containsSemiMixedTypes="0" containsString="0" containsNumber="1" minValue="0.05" maxValue="0.25"/>
    </cacheField>
    <cacheField name="Total Salary" numFmtId="164">
      <sharedItems containsSemiMixedTypes="0" containsString="0" containsNumber="1" minValue="33478.71" maxValue="107682"/>
    </cacheField>
    <cacheField name="Salary Status" numFmtId="0">
      <sharedItems/>
    </cacheField>
    <cacheField name="Department Head" numFmtId="0">
      <sharedItems/>
    </cacheField>
    <cacheField name="Location" numFmtId="0">
      <sharedItems count="6">
        <s v="Delhi"/>
        <s v="Mumbai"/>
        <s v="Pune"/>
        <s v="N/A"/>
        <s v="Hyderabad"/>
        <s v="Bangal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1"/>
    <x v="0"/>
    <s v="Employee 1"/>
    <s v="N/A"/>
    <x v="0"/>
    <d v="2022-10-10T00:00:00"/>
    <d v="2022-11-30T00:00:00"/>
    <n v="86422"/>
    <n v="0.06"/>
    <n v="91607.32"/>
    <x v="0"/>
    <s v="Bob"/>
    <x v="0"/>
  </r>
  <r>
    <n v="5"/>
    <x v="1"/>
    <s v="Employee 5"/>
    <s v="emp5@company.com"/>
    <x v="1"/>
    <d v="2023-05-31T00:00:00"/>
    <d v="2023-06-24T00:00:00"/>
    <n v="84343"/>
    <n v="0.22"/>
    <n v="102898.46"/>
    <x v="0"/>
    <s v="Alice"/>
    <x v="1"/>
  </r>
  <r>
    <n v="2"/>
    <x v="2"/>
    <s v="Employee 2"/>
    <s v="emp2@company.com"/>
    <x v="2"/>
    <d v="2023-09-13T00:00:00"/>
    <d v="2023-10-25T00:00:00"/>
    <n v="45795"/>
    <n v="0.12"/>
    <n v="51290.400000000001"/>
    <x v="1"/>
    <s v="Ethan"/>
    <x v="2"/>
  </r>
  <r>
    <n v="3"/>
    <x v="3"/>
    <s v="Employee 3"/>
    <s v="emp3@company.com"/>
    <x v="3"/>
    <d v="2022-08-11T00:00:00"/>
    <d v="2022-09-02T00:00:00"/>
    <n v="30860"/>
    <n v="0.13"/>
    <n v="34871.800000000003"/>
    <x v="1"/>
    <s v="N/A"/>
    <x v="3"/>
  </r>
  <r>
    <n v="6"/>
    <x v="4"/>
    <s v="Employee 6"/>
    <s v="emp6@company.com"/>
    <x v="3"/>
    <d v="2022-06-10T00:00:00"/>
    <d v="2022-08-05T00:00:00"/>
    <n v="74732"/>
    <n v="0.12"/>
    <n v="83699.839999999997"/>
    <x v="0"/>
    <s v="N/A"/>
    <x v="3"/>
  </r>
  <r>
    <n v="4"/>
    <x v="5"/>
    <s v="Employee 4"/>
    <s v="emp4@company.com"/>
    <x v="4"/>
    <d v="2022-06-11T00:00:00"/>
    <d v="2022-08-04T00:00:00"/>
    <n v="68158"/>
    <n v="0.1"/>
    <n v="74973.8"/>
    <x v="2"/>
    <s v="Diana"/>
    <x v="4"/>
  </r>
  <r>
    <n v="7"/>
    <x v="6"/>
    <s v="Employee 7"/>
    <s v="emp7@company.com"/>
    <x v="2"/>
    <d v="2023-01-14T00:00:00"/>
    <d v="2023-02-05T00:00:00"/>
    <n v="41284"/>
    <n v="0.11"/>
    <n v="45825.24"/>
    <x v="1"/>
    <s v="Ethan"/>
    <x v="2"/>
  </r>
  <r>
    <n v="8"/>
    <x v="7"/>
    <s v="Employee 8"/>
    <s v="emp8@company.com"/>
    <x v="1"/>
    <d v="2022-05-29T00:00:00"/>
    <d v="2022-07-11T00:00:00"/>
    <n v="84886"/>
    <n v="0.16"/>
    <n v="98467.76"/>
    <x v="0"/>
    <s v="Alice"/>
    <x v="1"/>
  </r>
  <r>
    <n v="9"/>
    <x v="8"/>
    <s v="Employee 9"/>
    <s v="emp9@company.com"/>
    <x v="2"/>
    <d v="2023-10-06T00:00:00"/>
    <d v="2023-10-18T00:00:00"/>
    <n v="36265"/>
    <n v="0.08"/>
    <n v="39166.199999999997"/>
    <x v="1"/>
    <s v="Ethan"/>
    <x v="2"/>
  </r>
  <r>
    <n v="10"/>
    <x v="9"/>
    <s v="Employee 10"/>
    <s v="emp10@company.com"/>
    <x v="5"/>
    <d v="2023-05-11T00:00:00"/>
    <d v="2023-06-28T00:00:00"/>
    <n v="46850"/>
    <n v="0.21"/>
    <n v="56688.5"/>
    <x v="1"/>
    <s v="Charlie"/>
    <x v="5"/>
  </r>
  <r>
    <n v="11"/>
    <x v="10"/>
    <s v="Employee 11"/>
    <s v="emp11@company.com"/>
    <x v="3"/>
    <d v="2022-12-23T00:00:00"/>
    <d v="2023-01-12T00:00:00"/>
    <n v="67194"/>
    <n v="0.06"/>
    <n v="71225.64"/>
    <x v="2"/>
    <s v="N/A"/>
    <x v="3"/>
  </r>
  <r>
    <n v="12"/>
    <x v="11"/>
    <s v="Employee 12"/>
    <s v="emp12@company.com"/>
    <x v="0"/>
    <d v="2022-12-28T00:00:00"/>
    <d v="2023-01-20T00:00:00"/>
    <n v="51962"/>
    <n v="0.25"/>
    <n v="64952.5"/>
    <x v="2"/>
    <s v="Bob"/>
    <x v="0"/>
  </r>
  <r>
    <n v="13"/>
    <x v="12"/>
    <s v="Employee 13"/>
    <s v="emp13@company.com"/>
    <x v="0"/>
    <d v="2022-06-14T00:00:00"/>
    <d v="2022-07-25T00:00:00"/>
    <n v="77191"/>
    <n v="0.2"/>
    <n v="92629.2"/>
    <x v="0"/>
    <s v="Bob"/>
    <x v="0"/>
  </r>
  <r>
    <n v="14"/>
    <x v="13"/>
    <s v="Employee 14"/>
    <s v="emp14@company.com"/>
    <x v="5"/>
    <d v="2022-04-11T00:00:00"/>
    <d v="2022-05-14T00:00:00"/>
    <n v="74131"/>
    <n v="0.09"/>
    <n v="80802.789999999994"/>
    <x v="0"/>
    <s v="Charlie"/>
    <x v="5"/>
  </r>
  <r>
    <n v="15"/>
    <x v="14"/>
    <s v="Employee 15"/>
    <s v="emp15@company.com"/>
    <x v="2"/>
    <d v="2022-12-21T00:00:00"/>
    <d v="2023-01-26T00:00:00"/>
    <n v="46023"/>
    <n v="0.05"/>
    <n v="48324.15"/>
    <x v="1"/>
    <s v="Ethan"/>
    <x v="2"/>
  </r>
  <r>
    <n v="16"/>
    <x v="15"/>
    <s v="Employee 16"/>
    <s v="N/A"/>
    <x v="1"/>
    <d v="2023-07-31T00:00:00"/>
    <d v="2023-09-12T00:00:00"/>
    <n v="71090"/>
    <n v="0.21"/>
    <n v="86018.9"/>
    <x v="0"/>
    <s v="Alice"/>
    <x v="1"/>
  </r>
  <r>
    <n v="17"/>
    <x v="16"/>
    <s v="Employee 17"/>
    <s v="emp17@company.com"/>
    <x v="3"/>
    <d v="2023-05-21T00:00:00"/>
    <d v="2023-06-19T00:00:00"/>
    <n v="31685"/>
    <n v="0.19"/>
    <n v="37705.15"/>
    <x v="1"/>
    <s v="N/A"/>
    <x v="3"/>
  </r>
  <r>
    <n v="18"/>
    <x v="17"/>
    <s v="Employee 18"/>
    <s v="emp18@company.com"/>
    <x v="5"/>
    <d v="2023-10-17T00:00:00"/>
    <d v="2023-11-22T00:00:00"/>
    <n v="30769"/>
    <n v="0.2"/>
    <n v="36922.800000000003"/>
    <x v="1"/>
    <s v="Charlie"/>
    <x v="5"/>
  </r>
  <r>
    <n v="19"/>
    <x v="18"/>
    <s v="Employee 19"/>
    <s v="emp19@company.com"/>
    <x v="3"/>
    <d v="2022-07-28T00:00:00"/>
    <d v="2022-08-20T00:00:00"/>
    <n v="89735"/>
    <n v="0.2"/>
    <n v="107682"/>
    <x v="0"/>
    <s v="N/A"/>
    <x v="3"/>
  </r>
  <r>
    <n v="20"/>
    <x v="19"/>
    <s v="Employee 20"/>
    <s v="emp20@company.com"/>
    <x v="5"/>
    <d v="2022-04-10T00:00:00"/>
    <d v="2022-06-05T00:00:00"/>
    <n v="86101"/>
    <n v="0.06"/>
    <n v="91267.06"/>
    <x v="0"/>
    <s v="Charlie"/>
    <x v="5"/>
  </r>
  <r>
    <n v="21"/>
    <x v="20"/>
    <s v="Employee 21"/>
    <s v="emp21@company.com"/>
    <x v="1"/>
    <d v="2024-02-17T00:00:00"/>
    <d v="2024-04-06T00:00:00"/>
    <n v="32433"/>
    <n v="0.12"/>
    <n v="36324.959999999999"/>
    <x v="1"/>
    <s v="Alice"/>
    <x v="1"/>
  </r>
  <r>
    <n v="22"/>
    <x v="21"/>
    <s v="Employee 22"/>
    <s v="emp22@company.com"/>
    <x v="2"/>
    <d v="2022-10-02T00:00:00"/>
    <d v="2022-10-30T00:00:00"/>
    <n v="35311"/>
    <n v="7.0000000000000007E-2"/>
    <n v="37782.769999999997"/>
    <x v="1"/>
    <s v="Ethan"/>
    <x v="2"/>
  </r>
  <r>
    <n v="23"/>
    <x v="22"/>
    <s v="Employee 23"/>
    <s v="emp23@company.com"/>
    <x v="2"/>
    <d v="2023-10-14T00:00:00"/>
    <d v="2023-10-29T00:00:00"/>
    <n v="67819"/>
    <n v="0.22"/>
    <n v="82739.179999999993"/>
    <x v="2"/>
    <s v="Ethan"/>
    <x v="2"/>
  </r>
  <r>
    <n v="24"/>
    <x v="23"/>
    <s v="Employee 24"/>
    <s v="emp24@company.com"/>
    <x v="3"/>
    <d v="2023-08-26T00:00:00"/>
    <d v="2023-09-13T00:00:00"/>
    <n v="69188"/>
    <n v="0.17"/>
    <n v="80949.960000000006"/>
    <x v="2"/>
    <s v="N/A"/>
    <x v="3"/>
  </r>
  <r>
    <n v="25"/>
    <x v="24"/>
    <s v="Employee 25"/>
    <s v="emp25@company.com"/>
    <x v="2"/>
    <d v="2022-05-06T00:00:00"/>
    <d v="2022-06-21T00:00:00"/>
    <n v="47568"/>
    <n v="0.12"/>
    <n v="53276.160000000003"/>
    <x v="1"/>
    <s v="Ethan"/>
    <x v="2"/>
  </r>
  <r>
    <n v="26"/>
    <x v="25"/>
    <s v="Employee 26"/>
    <s v="emp26@company.com"/>
    <x v="4"/>
    <d v="2022-04-05T00:00:00"/>
    <d v="2022-04-17T00:00:00"/>
    <n v="83707"/>
    <n v="0.06"/>
    <n v="88729.42"/>
    <x v="0"/>
    <s v="Diana"/>
    <x v="4"/>
  </r>
  <r>
    <n v="27"/>
    <x v="26"/>
    <s v="Employee 27"/>
    <s v="emp27@company.com"/>
    <x v="5"/>
    <d v="2023-11-09T00:00:00"/>
    <d v="2024-01-08T00:00:00"/>
    <n v="49769"/>
    <n v="0.11"/>
    <n v="55243.59"/>
    <x v="1"/>
    <s v="Charlie"/>
    <x v="5"/>
  </r>
  <r>
    <n v="28"/>
    <x v="27"/>
    <s v="Employee 28"/>
    <s v="emp28@company.com"/>
    <x v="2"/>
    <d v="2023-06-23T00:00:00"/>
    <d v="2023-08-19T00:00:00"/>
    <n v="58693"/>
    <n v="0.12"/>
    <n v="65736.160000000003"/>
    <x v="2"/>
    <s v="Ethan"/>
    <x v="2"/>
  </r>
  <r>
    <n v="29"/>
    <x v="28"/>
    <s v="Employee 29"/>
    <s v="emp29@company.com"/>
    <x v="3"/>
    <d v="2023-05-30T00:00:00"/>
    <d v="2023-07-19T00:00:00"/>
    <n v="36396"/>
    <n v="0.2"/>
    <n v="43675.199999999997"/>
    <x v="1"/>
    <s v="N/A"/>
    <x v="3"/>
  </r>
  <r>
    <n v="30"/>
    <x v="29"/>
    <s v="Employee 30"/>
    <s v="emp30@company.com"/>
    <x v="0"/>
    <d v="2022-04-24T00:00:00"/>
    <d v="2022-05-04T00:00:00"/>
    <n v="57480"/>
    <n v="0.18"/>
    <n v="67826.399999999994"/>
    <x v="2"/>
    <s v="Bob"/>
    <x v="0"/>
  </r>
  <r>
    <n v="31"/>
    <x v="30"/>
    <s v="Employee 31"/>
    <s v="N/A"/>
    <x v="1"/>
    <d v="2022-09-04T00:00:00"/>
    <d v="2022-09-24T00:00:00"/>
    <n v="71434"/>
    <n v="0.23"/>
    <n v="87863.82"/>
    <x v="0"/>
    <s v="Alice"/>
    <x v="1"/>
  </r>
  <r>
    <n v="32"/>
    <x v="31"/>
    <s v="Employee 32"/>
    <s v="emp32@company.com"/>
    <x v="5"/>
    <d v="2023-12-10T00:00:00"/>
    <d v="2024-01-19T00:00:00"/>
    <n v="55658"/>
    <n v="0.14000000000000001"/>
    <n v="63450.12"/>
    <x v="2"/>
    <s v="Charlie"/>
    <x v="5"/>
  </r>
  <r>
    <n v="33"/>
    <x v="32"/>
    <s v="Employee 33"/>
    <s v="emp33@company.com"/>
    <x v="1"/>
    <d v="2022-08-31T00:00:00"/>
    <d v="2022-09-22T00:00:00"/>
    <n v="48942"/>
    <n v="7.0000000000000007E-2"/>
    <n v="52367.94"/>
    <x v="1"/>
    <s v="Alice"/>
    <x v="1"/>
  </r>
  <r>
    <n v="34"/>
    <x v="33"/>
    <s v="Employee 34"/>
    <s v="emp34@company.com"/>
    <x v="4"/>
    <d v="2023-12-15T00:00:00"/>
    <d v="2024-01-28T00:00:00"/>
    <n v="87001"/>
    <n v="0.19"/>
    <n v="103531.19"/>
    <x v="0"/>
    <s v="Diana"/>
    <x v="4"/>
  </r>
  <r>
    <n v="35"/>
    <x v="34"/>
    <s v="Employee 35"/>
    <s v="emp35@company.com"/>
    <x v="1"/>
    <d v="2024-03-05T00:00:00"/>
    <d v="2024-04-24T00:00:00"/>
    <n v="48431"/>
    <n v="0.2"/>
    <n v="58117.2"/>
    <x v="1"/>
    <s v="Alice"/>
    <x v="1"/>
  </r>
  <r>
    <n v="36"/>
    <x v="35"/>
    <s v="Employee 36"/>
    <s v="emp36@company.com"/>
    <x v="5"/>
    <d v="2022-05-19T00:00:00"/>
    <d v="2022-06-18T00:00:00"/>
    <n v="32747"/>
    <n v="0.16"/>
    <n v="37986.519999999997"/>
    <x v="1"/>
    <s v="Charlie"/>
    <x v="5"/>
  </r>
  <r>
    <n v="37"/>
    <x v="36"/>
    <s v="Employee 37"/>
    <s v="emp37@company.com"/>
    <x v="4"/>
    <d v="2022-07-18T00:00:00"/>
    <d v="2022-09-12T00:00:00"/>
    <n v="88319"/>
    <n v="0.2"/>
    <n v="105982.8"/>
    <x v="0"/>
    <s v="Diana"/>
    <x v="4"/>
  </r>
  <r>
    <n v="38"/>
    <x v="37"/>
    <s v="Employee 38"/>
    <s v="emp38@company.com"/>
    <x v="3"/>
    <d v="2023-02-23T00:00:00"/>
    <d v="2023-03-25T00:00:00"/>
    <n v="89150"/>
    <n v="0.15"/>
    <n v="102522.5"/>
    <x v="0"/>
    <s v="N/A"/>
    <x v="3"/>
  </r>
  <r>
    <n v="39"/>
    <x v="38"/>
    <s v="Employee 39"/>
    <s v="emp39@company.com"/>
    <x v="2"/>
    <d v="2022-09-08T00:00:00"/>
    <d v="2022-10-01T00:00:00"/>
    <n v="30189"/>
    <n v="0.15"/>
    <n v="34717.35"/>
    <x v="1"/>
    <s v="Ethan"/>
    <x v="2"/>
  </r>
  <r>
    <n v="40"/>
    <x v="39"/>
    <s v="Employee 40"/>
    <s v="emp40@company.com"/>
    <x v="5"/>
    <d v="2022-08-24T00:00:00"/>
    <d v="2022-09-05T00:00:00"/>
    <n v="49118"/>
    <n v="0.14000000000000001"/>
    <n v="55994.52"/>
    <x v="1"/>
    <s v="Charlie"/>
    <x v="5"/>
  </r>
  <r>
    <n v="41"/>
    <x v="40"/>
    <s v="Employee 41"/>
    <s v="emp41@company.com"/>
    <x v="0"/>
    <d v="2023-01-03T00:00:00"/>
    <d v="2023-02-05T00:00:00"/>
    <n v="65773"/>
    <n v="0.06"/>
    <n v="69719.38"/>
    <x v="2"/>
    <s v="Bob"/>
    <x v="0"/>
  </r>
  <r>
    <n v="42"/>
    <x v="41"/>
    <s v="Employee 42"/>
    <s v="emp42@company.com"/>
    <x v="0"/>
    <d v="2023-11-01T00:00:00"/>
    <d v="2023-12-02T00:00:00"/>
    <n v="83810"/>
    <n v="7.0000000000000007E-2"/>
    <n v="89676.7"/>
    <x v="0"/>
    <s v="Bob"/>
    <x v="0"/>
  </r>
  <r>
    <n v="43"/>
    <x v="42"/>
    <s v="Employee 43"/>
    <s v="emp43@company.com"/>
    <x v="0"/>
    <d v="2022-06-05T00:00:00"/>
    <d v="2022-07-10T00:00:00"/>
    <n v="31899"/>
    <n v="0.06"/>
    <n v="33812.94"/>
    <x v="1"/>
    <s v="Bob"/>
    <x v="0"/>
  </r>
  <r>
    <n v="44"/>
    <x v="43"/>
    <s v="Employee 44"/>
    <s v="emp44@company.com"/>
    <x v="4"/>
    <d v="2023-10-22T00:00:00"/>
    <d v="2023-12-16T00:00:00"/>
    <n v="86886"/>
    <n v="0.18"/>
    <n v="102525.48"/>
    <x v="0"/>
    <s v="Diana"/>
    <x v="4"/>
  </r>
  <r>
    <n v="45"/>
    <x v="44"/>
    <s v="Employee 45"/>
    <s v="emp45@company.com"/>
    <x v="2"/>
    <d v="2022-08-09T00:00:00"/>
    <d v="2022-08-31T00:00:00"/>
    <n v="31267"/>
    <n v="0.11"/>
    <n v="34706.370000000003"/>
    <x v="1"/>
    <s v="Ethan"/>
    <x v="2"/>
  </r>
  <r>
    <n v="46"/>
    <x v="45"/>
    <s v="Employee 46"/>
    <s v="N/A"/>
    <x v="0"/>
    <d v="2023-10-11T00:00:00"/>
    <d v="2023-11-22T00:00:00"/>
    <n v="61551"/>
    <n v="0.15"/>
    <n v="70783.649999999994"/>
    <x v="2"/>
    <s v="Bob"/>
    <x v="0"/>
  </r>
  <r>
    <n v="47"/>
    <x v="46"/>
    <s v="Employee 47"/>
    <s v="emp47@company.com"/>
    <x v="5"/>
    <d v="2022-01-21T00:00:00"/>
    <d v="2022-02-23T00:00:00"/>
    <n v="80680"/>
    <n v="0.23"/>
    <n v="99236.4"/>
    <x v="0"/>
    <s v="Charlie"/>
    <x v="5"/>
  </r>
  <r>
    <n v="48"/>
    <x v="47"/>
    <s v="Employee 48"/>
    <s v="emp48@company.com"/>
    <x v="3"/>
    <d v="2022-02-25T00:00:00"/>
    <d v="2022-04-24T00:00:00"/>
    <n v="41394"/>
    <n v="0.1"/>
    <n v="45533.4"/>
    <x v="1"/>
    <s v="N/A"/>
    <x v="3"/>
  </r>
  <r>
    <n v="49"/>
    <x v="48"/>
    <s v="Employee 49"/>
    <s v="emp49@company.com"/>
    <x v="4"/>
    <d v="2022-01-16T00:00:00"/>
    <d v="2022-02-28T00:00:00"/>
    <n v="33556"/>
    <n v="0.13"/>
    <n v="37918.28"/>
    <x v="1"/>
    <s v="Diana"/>
    <x v="4"/>
  </r>
  <r>
    <n v="50"/>
    <x v="49"/>
    <s v="Employee 50"/>
    <s v="emp50@company.com"/>
    <x v="4"/>
    <d v="2022-03-09T00:00:00"/>
    <d v="2022-03-19T00:00:00"/>
    <n v="33890"/>
    <n v="0.2"/>
    <n v="40668"/>
    <x v="1"/>
    <s v="Diana"/>
    <x v="4"/>
  </r>
  <r>
    <n v="51"/>
    <x v="50"/>
    <s v="Employee 51"/>
    <s v="emp51@company.com"/>
    <x v="3"/>
    <d v="2022-10-31T00:00:00"/>
    <d v="2022-12-12T00:00:00"/>
    <n v="71606"/>
    <n v="0.1"/>
    <n v="78766.600000000006"/>
    <x v="0"/>
    <s v="N/A"/>
    <x v="3"/>
  </r>
  <r>
    <n v="52"/>
    <x v="51"/>
    <s v="Employee 52"/>
    <s v="emp52@company.com"/>
    <x v="2"/>
    <d v="2022-10-12T00:00:00"/>
    <d v="2022-11-02T00:00:00"/>
    <n v="60740"/>
    <n v="7.0000000000000007E-2"/>
    <n v="64991.8"/>
    <x v="2"/>
    <s v="Ethan"/>
    <x v="2"/>
  </r>
  <r>
    <n v="53"/>
    <x v="52"/>
    <s v="Employee 53"/>
    <s v="emp53@company.com"/>
    <x v="2"/>
    <d v="2023-03-31T00:00:00"/>
    <d v="2023-05-17T00:00:00"/>
    <n v="44502"/>
    <n v="0.11"/>
    <n v="49397.22"/>
    <x v="1"/>
    <s v="Ethan"/>
    <x v="2"/>
  </r>
  <r>
    <n v="54"/>
    <x v="53"/>
    <s v="Employee 54"/>
    <s v="emp54@company.com"/>
    <x v="0"/>
    <d v="2023-11-10T00:00:00"/>
    <d v="2023-11-22T00:00:00"/>
    <n v="51777"/>
    <n v="0.08"/>
    <n v="55919.16"/>
    <x v="2"/>
    <s v="Bob"/>
    <x v="0"/>
  </r>
  <r>
    <n v="55"/>
    <x v="54"/>
    <s v="Employee 55"/>
    <s v="emp55@company.com"/>
    <x v="3"/>
    <d v="2022-04-11T00:00:00"/>
    <d v="2022-05-31T00:00:00"/>
    <n v="40627"/>
    <n v="0.24"/>
    <n v="50377.48"/>
    <x v="1"/>
    <s v="N/A"/>
    <x v="3"/>
  </r>
  <r>
    <n v="56"/>
    <x v="55"/>
    <s v="Employee 56"/>
    <s v="emp56@company.com"/>
    <x v="4"/>
    <d v="2022-05-14T00:00:00"/>
    <d v="2022-05-24T00:00:00"/>
    <n v="38792"/>
    <n v="0.21"/>
    <n v="46938.32"/>
    <x v="1"/>
    <s v="Diana"/>
    <x v="4"/>
  </r>
  <r>
    <n v="57"/>
    <x v="56"/>
    <s v="Employee 57"/>
    <s v="emp57@company.com"/>
    <x v="0"/>
    <d v="2023-05-30T00:00:00"/>
    <d v="2023-06-22T00:00:00"/>
    <n v="73323"/>
    <n v="0.18"/>
    <n v="86521.14"/>
    <x v="0"/>
    <s v="Bob"/>
    <x v="0"/>
  </r>
  <r>
    <n v="58"/>
    <x v="57"/>
    <s v="Employee 58"/>
    <s v="emp58@company.com"/>
    <x v="4"/>
    <d v="2022-05-21T00:00:00"/>
    <d v="2022-07-07T00:00:00"/>
    <n v="73021"/>
    <n v="0.22"/>
    <n v="89085.62"/>
    <x v="0"/>
    <s v="Diana"/>
    <x v="4"/>
  </r>
  <r>
    <n v="59"/>
    <x v="58"/>
    <s v="Employee 59"/>
    <s v="emp59@company.com"/>
    <x v="2"/>
    <d v="2023-05-06T00:00:00"/>
    <d v="2023-05-22T00:00:00"/>
    <n v="38433"/>
    <n v="0.21"/>
    <n v="46503.93"/>
    <x v="1"/>
    <s v="Ethan"/>
    <x v="2"/>
  </r>
  <r>
    <n v="60"/>
    <x v="59"/>
    <s v="Employee 60"/>
    <s v="emp60@company.com"/>
    <x v="5"/>
    <d v="2023-06-05T00:00:00"/>
    <d v="2023-07-01T00:00:00"/>
    <n v="73001"/>
    <n v="0.09"/>
    <n v="79571.09"/>
    <x v="0"/>
    <s v="Charlie"/>
    <x v="5"/>
  </r>
  <r>
    <n v="61"/>
    <x v="60"/>
    <s v="Employee 61"/>
    <s v="N/A"/>
    <x v="5"/>
    <d v="2023-07-14T00:00:00"/>
    <d v="2023-08-08T00:00:00"/>
    <n v="41016"/>
    <n v="0.23"/>
    <n v="50449.68"/>
    <x v="1"/>
    <s v="Charlie"/>
    <x v="5"/>
  </r>
  <r>
    <n v="62"/>
    <x v="61"/>
    <s v="Employee 62"/>
    <s v="emp62@company.com"/>
    <x v="3"/>
    <d v="2023-06-04T00:00:00"/>
    <d v="2023-06-15T00:00:00"/>
    <n v="53897"/>
    <n v="0.16"/>
    <n v="62520.52"/>
    <x v="2"/>
    <s v="N/A"/>
    <x v="3"/>
  </r>
  <r>
    <n v="63"/>
    <x v="62"/>
    <s v="Employee 63"/>
    <s v="emp63@company.com"/>
    <x v="4"/>
    <d v="2022-05-01T00:00:00"/>
    <d v="2022-06-16T00:00:00"/>
    <n v="32612"/>
    <n v="0.21"/>
    <n v="39460.519999999997"/>
    <x v="1"/>
    <s v="Diana"/>
    <x v="4"/>
  </r>
  <r>
    <n v="64"/>
    <x v="63"/>
    <s v="Employee 64"/>
    <s v="emp64@company.com"/>
    <x v="4"/>
    <d v="2022-12-11T00:00:00"/>
    <d v="2023-01-06T00:00:00"/>
    <n v="86193"/>
    <n v="0.23"/>
    <n v="106017.39"/>
    <x v="0"/>
    <s v="Diana"/>
    <x v="4"/>
  </r>
  <r>
    <n v="65"/>
    <x v="64"/>
    <s v="Employee 65"/>
    <s v="emp65@company.com"/>
    <x v="2"/>
    <d v="2022-04-03T00:00:00"/>
    <d v="2022-05-24T00:00:00"/>
    <n v="88707"/>
    <n v="0.11"/>
    <n v="98464.77"/>
    <x v="0"/>
    <s v="Ethan"/>
    <x v="2"/>
  </r>
  <r>
    <n v="66"/>
    <x v="65"/>
    <s v="Employee 66"/>
    <s v="emp66@company.com"/>
    <x v="5"/>
    <d v="2023-12-06T00:00:00"/>
    <d v="2023-12-29T00:00:00"/>
    <n v="85387"/>
    <n v="7.0000000000000007E-2"/>
    <n v="91364.09"/>
    <x v="0"/>
    <s v="Charlie"/>
    <x v="5"/>
  </r>
  <r>
    <n v="67"/>
    <x v="66"/>
    <s v="Employee 67"/>
    <s v="emp67@company.com"/>
    <x v="3"/>
    <d v="2024-02-11T00:00:00"/>
    <d v="2024-02-22T00:00:00"/>
    <n v="84638"/>
    <n v="0.1"/>
    <n v="93101.8"/>
    <x v="0"/>
    <s v="N/A"/>
    <x v="3"/>
  </r>
  <r>
    <n v="68"/>
    <x v="67"/>
    <s v="Employee 68"/>
    <s v="emp68@company.com"/>
    <x v="2"/>
    <d v="2023-02-25T00:00:00"/>
    <d v="2023-03-30T00:00:00"/>
    <n v="53483"/>
    <n v="0.14000000000000001"/>
    <n v="60970.62"/>
    <x v="2"/>
    <s v="Ethan"/>
    <x v="2"/>
  </r>
  <r>
    <n v="69"/>
    <x v="68"/>
    <s v="Employee 69"/>
    <s v="emp69@company.com"/>
    <x v="2"/>
    <d v="2023-01-01T00:00:00"/>
    <d v="2023-01-22T00:00:00"/>
    <n v="88822"/>
    <n v="0.21"/>
    <n v="107474.62"/>
    <x v="0"/>
    <s v="Ethan"/>
    <x v="2"/>
  </r>
  <r>
    <n v="70"/>
    <x v="69"/>
    <s v="Employee 70"/>
    <s v="emp70@company.com"/>
    <x v="3"/>
    <d v="2022-02-20T00:00:00"/>
    <d v="2022-04-14T00:00:00"/>
    <n v="78555"/>
    <n v="0.22"/>
    <n v="95837.1"/>
    <x v="0"/>
    <s v="N/A"/>
    <x v="3"/>
  </r>
  <r>
    <n v="71"/>
    <x v="70"/>
    <s v="Employee 71"/>
    <s v="emp71@company.com"/>
    <x v="2"/>
    <d v="2023-04-23T00:00:00"/>
    <d v="2023-05-15T00:00:00"/>
    <n v="89900"/>
    <n v="0.05"/>
    <n v="94395"/>
    <x v="0"/>
    <s v="Ethan"/>
    <x v="2"/>
  </r>
  <r>
    <n v="72"/>
    <x v="71"/>
    <s v="Employee 72"/>
    <s v="emp72@company.com"/>
    <x v="3"/>
    <d v="2024-02-27T00:00:00"/>
    <d v="2024-03-25T00:00:00"/>
    <n v="47159"/>
    <n v="0.15"/>
    <n v="54232.85"/>
    <x v="1"/>
    <s v="N/A"/>
    <x v="3"/>
  </r>
  <r>
    <n v="73"/>
    <x v="72"/>
    <s v="Employee 73"/>
    <s v="emp73@company.com"/>
    <x v="4"/>
    <d v="2023-01-13T00:00:00"/>
    <d v="2023-02-04T00:00:00"/>
    <n v="74974"/>
    <n v="0.13"/>
    <n v="84720.62"/>
    <x v="0"/>
    <s v="Diana"/>
    <x v="4"/>
  </r>
  <r>
    <n v="74"/>
    <x v="73"/>
    <s v="Employee 74"/>
    <s v="emp74@company.com"/>
    <x v="5"/>
    <d v="2023-02-13T00:00:00"/>
    <d v="2023-03-25T00:00:00"/>
    <n v="70994"/>
    <n v="0.09"/>
    <n v="77383.460000000006"/>
    <x v="0"/>
    <s v="Charlie"/>
    <x v="5"/>
  </r>
  <r>
    <n v="75"/>
    <x v="74"/>
    <s v="Employee 75"/>
    <s v="emp75@company.com"/>
    <x v="2"/>
    <d v="2023-12-24T00:00:00"/>
    <d v="2024-02-14T00:00:00"/>
    <n v="44541"/>
    <n v="7.0000000000000007E-2"/>
    <n v="47658.87"/>
    <x v="1"/>
    <s v="Ethan"/>
    <x v="2"/>
  </r>
  <r>
    <n v="76"/>
    <x v="75"/>
    <s v="Employee 76"/>
    <s v="N/A"/>
    <x v="2"/>
    <d v="2023-03-07T00:00:00"/>
    <d v="2023-03-26T00:00:00"/>
    <n v="65920"/>
    <n v="0.12"/>
    <n v="73830.399999999994"/>
    <x v="2"/>
    <s v="Ethan"/>
    <x v="2"/>
  </r>
  <r>
    <n v="77"/>
    <x v="76"/>
    <s v="Employee 77"/>
    <s v="emp77@company.com"/>
    <x v="5"/>
    <d v="2023-05-15T00:00:00"/>
    <d v="2023-06-18T00:00:00"/>
    <n v="56531"/>
    <n v="0.24"/>
    <n v="70098.44"/>
    <x v="2"/>
    <s v="Charlie"/>
    <x v="5"/>
  </r>
  <r>
    <n v="78"/>
    <x v="77"/>
    <s v="Employee 78"/>
    <s v="emp78@company.com"/>
    <x v="4"/>
    <d v="2024-02-04T00:00:00"/>
    <d v="2024-03-31T00:00:00"/>
    <n v="31585"/>
    <n v="0.11"/>
    <n v="35059.35"/>
    <x v="1"/>
    <s v="Diana"/>
    <x v="4"/>
  </r>
  <r>
    <n v="79"/>
    <x v="78"/>
    <s v="Employee 79"/>
    <s v="emp79@company.com"/>
    <x v="0"/>
    <d v="2023-05-13T00:00:00"/>
    <d v="2023-07-06T00:00:00"/>
    <n v="33943"/>
    <n v="0.15"/>
    <n v="39034.449999999997"/>
    <x v="1"/>
    <s v="Bob"/>
    <x v="0"/>
  </r>
  <r>
    <n v="80"/>
    <x v="79"/>
    <s v="Employee 80"/>
    <s v="emp80@company.com"/>
    <x v="4"/>
    <d v="2022-01-08T00:00:00"/>
    <d v="2022-02-02T00:00:00"/>
    <n v="53939"/>
    <n v="0.19"/>
    <n v="64187.41"/>
    <x v="2"/>
    <s v="Diana"/>
    <x v="4"/>
  </r>
  <r>
    <n v="81"/>
    <x v="80"/>
    <s v="Employee 81"/>
    <s v="emp81@company.com"/>
    <x v="2"/>
    <d v="2023-10-27T00:00:00"/>
    <d v="2023-11-09T00:00:00"/>
    <n v="49457"/>
    <n v="0.12"/>
    <n v="55391.839999999997"/>
    <x v="1"/>
    <s v="Ethan"/>
    <x v="2"/>
  </r>
  <r>
    <n v="82"/>
    <x v="81"/>
    <s v="Employee 82"/>
    <s v="emp82@company.com"/>
    <x v="0"/>
    <d v="2022-05-27T00:00:00"/>
    <d v="2022-07-22T00:00:00"/>
    <n v="31021"/>
    <n v="0.24"/>
    <n v="38466.04"/>
    <x v="1"/>
    <s v="Bob"/>
    <x v="0"/>
  </r>
  <r>
    <n v="83"/>
    <x v="82"/>
    <s v="Employee 83"/>
    <s v="emp83@company.com"/>
    <x v="1"/>
    <d v="2022-02-25T00:00:00"/>
    <d v="2022-03-16T00:00:00"/>
    <n v="41653"/>
    <n v="0.24"/>
    <n v="51649.72"/>
    <x v="1"/>
    <s v="Alice"/>
    <x v="1"/>
  </r>
  <r>
    <n v="84"/>
    <x v="83"/>
    <s v="Employee 84"/>
    <s v="emp84@company.com"/>
    <x v="0"/>
    <d v="2022-12-26T00:00:00"/>
    <d v="2023-01-05T00:00:00"/>
    <n v="73573"/>
    <n v="0.1"/>
    <n v="80930.3"/>
    <x v="0"/>
    <s v="Bob"/>
    <x v="0"/>
  </r>
  <r>
    <n v="85"/>
    <x v="84"/>
    <s v="Employee 85"/>
    <s v="emp85@company.com"/>
    <x v="3"/>
    <d v="2024-01-28T00:00:00"/>
    <d v="2024-03-27T00:00:00"/>
    <n v="43417"/>
    <n v="0.15"/>
    <n v="49929.55"/>
    <x v="1"/>
    <s v="N/A"/>
    <x v="3"/>
  </r>
  <r>
    <n v="86"/>
    <x v="85"/>
    <s v="Employee 86"/>
    <s v="emp86@company.com"/>
    <x v="2"/>
    <d v="2023-01-03T00:00:00"/>
    <d v="2023-01-15T00:00:00"/>
    <n v="82995"/>
    <n v="0.11"/>
    <n v="92124.45"/>
    <x v="0"/>
    <s v="Ethan"/>
    <x v="2"/>
  </r>
  <r>
    <n v="87"/>
    <x v="86"/>
    <s v="Employee 87"/>
    <s v="emp87@company.com"/>
    <x v="2"/>
    <d v="2023-08-13T00:00:00"/>
    <d v="2023-08-28T00:00:00"/>
    <n v="70757"/>
    <n v="0.11"/>
    <n v="78540.27"/>
    <x v="0"/>
    <s v="Ethan"/>
    <x v="2"/>
  </r>
  <r>
    <n v="88"/>
    <x v="87"/>
    <s v="Employee 88"/>
    <s v="emp88@company.com"/>
    <x v="2"/>
    <d v="2023-07-03T00:00:00"/>
    <d v="2023-08-27T00:00:00"/>
    <n v="39692"/>
    <n v="0.06"/>
    <n v="42073.52"/>
    <x v="1"/>
    <s v="Ethan"/>
    <x v="2"/>
  </r>
  <r>
    <n v="89"/>
    <x v="88"/>
    <s v="Employee 89"/>
    <s v="emp89@company.com"/>
    <x v="2"/>
    <d v="2023-05-13T00:00:00"/>
    <d v="2023-06-12T00:00:00"/>
    <n v="75758"/>
    <n v="0.17"/>
    <n v="88636.86"/>
    <x v="0"/>
    <s v="Ethan"/>
    <x v="2"/>
  </r>
  <r>
    <n v="90"/>
    <x v="89"/>
    <s v="Employee 90"/>
    <s v="emp90@company.com"/>
    <x v="3"/>
    <d v="2023-06-09T00:00:00"/>
    <d v="2023-07-13T00:00:00"/>
    <n v="36873"/>
    <n v="0.15"/>
    <n v="42403.95"/>
    <x v="1"/>
    <s v="N/A"/>
    <x v="3"/>
  </r>
  <r>
    <n v="91"/>
    <x v="90"/>
    <s v="Employee 91"/>
    <s v="N/A"/>
    <x v="1"/>
    <d v="2024-01-07T00:00:00"/>
    <d v="2024-02-01T00:00:00"/>
    <n v="35675"/>
    <n v="0.06"/>
    <n v="37815.5"/>
    <x v="1"/>
    <s v="Alice"/>
    <x v="1"/>
  </r>
  <r>
    <n v="92"/>
    <x v="91"/>
    <s v="Employee 92"/>
    <s v="emp92@company.com"/>
    <x v="4"/>
    <d v="2023-07-20T00:00:00"/>
    <d v="2023-09-04T00:00:00"/>
    <n v="30161"/>
    <n v="0.11"/>
    <n v="33478.71"/>
    <x v="1"/>
    <s v="Diana"/>
    <x v="4"/>
  </r>
  <r>
    <n v="93"/>
    <x v="92"/>
    <s v="Employee 93"/>
    <s v="emp93@company.com"/>
    <x v="2"/>
    <d v="2023-08-12T00:00:00"/>
    <d v="2023-09-25T00:00:00"/>
    <n v="67065"/>
    <n v="0.23"/>
    <n v="82489.95"/>
    <x v="2"/>
    <s v="Ethan"/>
    <x v="2"/>
  </r>
  <r>
    <n v="94"/>
    <x v="93"/>
    <s v="Employee 94"/>
    <s v="emp94@company.com"/>
    <x v="5"/>
    <d v="2022-02-23T00:00:00"/>
    <d v="2022-04-12T00:00:00"/>
    <n v="56557"/>
    <n v="0.1"/>
    <n v="62212.7"/>
    <x v="2"/>
    <s v="Charlie"/>
    <x v="5"/>
  </r>
  <r>
    <n v="95"/>
    <x v="94"/>
    <s v="Employee 95"/>
    <s v="emp95@company.com"/>
    <x v="2"/>
    <d v="2024-02-26T00:00:00"/>
    <d v="2024-04-12T00:00:00"/>
    <n v="63763"/>
    <n v="0.08"/>
    <n v="68864.039999999994"/>
    <x v="2"/>
    <s v="Ethan"/>
    <x v="2"/>
  </r>
  <r>
    <n v="96"/>
    <x v="95"/>
    <s v="Employee 96"/>
    <s v="emp96@company.com"/>
    <x v="2"/>
    <d v="2022-11-06T00:00:00"/>
    <d v="2022-11-30T00:00:00"/>
    <n v="62606"/>
    <n v="0.15"/>
    <n v="71996.899999999994"/>
    <x v="2"/>
    <s v="Ethan"/>
    <x v="2"/>
  </r>
  <r>
    <n v="97"/>
    <x v="96"/>
    <s v="Employee 97"/>
    <s v="emp97@company.com"/>
    <x v="3"/>
    <d v="2022-03-28T00:00:00"/>
    <d v="2022-04-08T00:00:00"/>
    <n v="41534"/>
    <n v="0.25"/>
    <n v="51917.5"/>
    <x v="1"/>
    <s v="N/A"/>
    <x v="3"/>
  </r>
  <r>
    <n v="98"/>
    <x v="97"/>
    <s v="Employee 98"/>
    <s v="emp98@company.com"/>
    <x v="3"/>
    <d v="2023-06-20T00:00:00"/>
    <d v="2023-07-30T00:00:00"/>
    <n v="59127"/>
    <n v="0.1"/>
    <n v="65039.7"/>
    <x v="2"/>
    <s v="N/A"/>
    <x v="3"/>
  </r>
  <r>
    <n v="99"/>
    <x v="98"/>
    <s v="Employee 99"/>
    <s v="emp99@company.com"/>
    <x v="0"/>
    <d v="2023-12-30T00:00:00"/>
    <d v="2024-01-20T00:00:00"/>
    <n v="70397"/>
    <n v="0.18"/>
    <n v="83068.460000000006"/>
    <x v="0"/>
    <s v="Bob"/>
    <x v="0"/>
  </r>
  <r>
    <n v="100"/>
    <x v="99"/>
    <s v="Employee 100"/>
    <s v="emp100@company.com"/>
    <x v="2"/>
    <d v="2023-07-12T00:00:00"/>
    <d v="2023-08-02T00:00:00"/>
    <n v="55851"/>
    <n v="0.2"/>
    <n v="67021.2"/>
    <x v="2"/>
    <s v="Ethan"/>
    <x v="2"/>
  </r>
  <r>
    <n v="101"/>
    <x v="100"/>
    <s v="New Employee 101"/>
    <s v="newemp101@company.com"/>
    <x v="1"/>
    <d v="2024-02-07T00:00:00"/>
    <d v="2024-07-10T00:00:00"/>
    <n v="44688"/>
    <n v="0.21"/>
    <n v="54072.480000000003"/>
    <x v="1"/>
    <s v="Alice"/>
    <x v="1"/>
  </r>
  <r>
    <n v="102"/>
    <x v="101"/>
    <s v="New Employee 103"/>
    <s v="newemp103@company.com"/>
    <x v="1"/>
    <d v="2024-01-08T00:00:00"/>
    <d v="2024-07-13T00:00:00"/>
    <n v="69157"/>
    <n v="0.15"/>
    <n v="79530.55"/>
    <x v="2"/>
    <s v="Alice"/>
    <x v="1"/>
  </r>
  <r>
    <n v="103"/>
    <x v="102"/>
    <s v="New Employee 102"/>
    <s v="newemp102@company.com"/>
    <x v="0"/>
    <d v="2024-06-10T00:00:00"/>
    <d v="2024-07-02T00:00:00"/>
    <n v="57342"/>
    <n v="0.08"/>
    <n v="61929.36"/>
    <x v="2"/>
    <s v="Bob"/>
    <x v="0"/>
  </r>
  <r>
    <n v="104"/>
    <x v="103"/>
    <s v="New Employee 104"/>
    <s v="newemp104@company.com"/>
    <x v="5"/>
    <d v="2024-01-12T00:00:00"/>
    <d v="2024-07-25T00:00:00"/>
    <n v="34327"/>
    <n v="0.19"/>
    <n v="40849.129999999997"/>
    <x v="1"/>
    <s v="Charlie"/>
    <x v="5"/>
  </r>
  <r>
    <n v="105"/>
    <x v="104"/>
    <s v="New Employee 105"/>
    <s v="newemp105@company.com"/>
    <x v="3"/>
    <d v="2024-04-02T00:00:00"/>
    <d v="2024-07-06T00:00:00"/>
    <n v="72772"/>
    <n v="0.22"/>
    <n v="88781.84"/>
    <x v="0"/>
    <s v="N/A"/>
    <x v="3"/>
  </r>
  <r>
    <n v="106"/>
    <x v="105"/>
    <s v="New Employee 106"/>
    <s v="newemp106@company.com"/>
    <x v="2"/>
    <d v="2024-04-28T00:00:00"/>
    <d v="2024-07-24T00:00:00"/>
    <n v="72545"/>
    <n v="0.12"/>
    <n v="81250.399999999994"/>
    <x v="0"/>
    <s v="Ethan"/>
    <x v="2"/>
  </r>
  <r>
    <n v="107"/>
    <x v="106"/>
    <s v="New Employee 107"/>
    <s v="newemp107@company.com"/>
    <x v="4"/>
    <d v="2024-06-02T00:00:00"/>
    <d v="2024-07-22T00:00:00"/>
    <n v="32197"/>
    <n v="0.09"/>
    <n v="35094.730000000003"/>
    <x v="1"/>
    <s v="Diana"/>
    <x v="4"/>
  </r>
  <r>
    <n v="108"/>
    <x v="107"/>
    <s v="New Employee 108"/>
    <s v="newemp108@company.com"/>
    <x v="0"/>
    <d v="2024-01-08T00:00:00"/>
    <d v="2024-07-03T00:00:00"/>
    <n v="55509"/>
    <n v="0.19"/>
    <n v="66055.710000000006"/>
    <x v="2"/>
    <s v="Bob"/>
    <x v="0"/>
  </r>
  <r>
    <n v="109"/>
    <x v="108"/>
    <s v="New Employee 109"/>
    <s v="newemp109@company.com"/>
    <x v="5"/>
    <d v="2024-04-08T00:00:00"/>
    <d v="2024-07-26T00:00:00"/>
    <n v="66698"/>
    <n v="0.21"/>
    <n v="80704.58"/>
    <x v="2"/>
    <s v="Charlie"/>
    <x v="5"/>
  </r>
  <r>
    <n v="110"/>
    <x v="109"/>
    <s v="New Employee 110"/>
    <s v="newemp110@company.com"/>
    <x v="4"/>
    <d v="2024-03-08T00:00:00"/>
    <d v="2024-07-17T00:00:00"/>
    <n v="47087"/>
    <n v="0.12"/>
    <n v="52737.440000000002"/>
    <x v="1"/>
    <s v="Diana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1"/>
    <s v="emp1"/>
    <s v="Employee 1"/>
    <s v="N/A"/>
    <s v="Sales"/>
    <d v="2022-10-10T00:00:00"/>
    <d v="2022-11-30T00:00:00"/>
    <n v="86422"/>
    <n v="0.06"/>
    <n v="91607.32"/>
    <s v="High"/>
    <s v="Bob"/>
    <x v="0"/>
  </r>
  <r>
    <n v="5"/>
    <s v="emp5"/>
    <s v="Employee 5"/>
    <s v="emp5@company.com"/>
    <s v="HR"/>
    <d v="2023-05-31T00:00:00"/>
    <d v="2023-06-24T00:00:00"/>
    <n v="84343"/>
    <n v="0.22"/>
    <n v="102898.46"/>
    <s v="High"/>
    <s v="Alice"/>
    <x v="1"/>
  </r>
  <r>
    <n v="2"/>
    <s v="emp2"/>
    <s v="Employee 2"/>
    <s v="emp2@company.com"/>
    <s v="Finance"/>
    <d v="2023-09-13T00:00:00"/>
    <d v="2023-10-25T00:00:00"/>
    <n v="45795"/>
    <n v="0.12"/>
    <n v="51290.400000000001"/>
    <s v="Low"/>
    <s v="Ethan"/>
    <x v="2"/>
  </r>
  <r>
    <n v="3"/>
    <s v="emp3"/>
    <s v="Employee 3"/>
    <s v="emp3@company.com"/>
    <s v="N/A"/>
    <d v="2022-08-11T00:00:00"/>
    <d v="2022-09-02T00:00:00"/>
    <n v="30860"/>
    <n v="0.13"/>
    <n v="34871.800000000003"/>
    <s v="Low"/>
    <s v="N/A"/>
    <x v="3"/>
  </r>
  <r>
    <n v="6"/>
    <s v="emp6"/>
    <s v="Employee 6"/>
    <s v="emp6@company.com"/>
    <s v="N/A"/>
    <d v="2022-06-10T00:00:00"/>
    <d v="2022-08-05T00:00:00"/>
    <n v="74732"/>
    <n v="0.12"/>
    <n v="83699.839999999997"/>
    <s v="High"/>
    <s v="N/A"/>
    <x v="3"/>
  </r>
  <r>
    <n v="4"/>
    <s v="emp4"/>
    <s v="Employee 4"/>
    <s v="emp4@company.com"/>
    <s v="IT"/>
    <d v="2022-06-11T00:00:00"/>
    <d v="2022-08-04T00:00:00"/>
    <n v="68158"/>
    <n v="0.1"/>
    <n v="74973.8"/>
    <s v="Average"/>
    <s v="Diana"/>
    <x v="4"/>
  </r>
  <r>
    <n v="7"/>
    <s v="emp7"/>
    <s v="Employee 7"/>
    <s v="emp7@company.com"/>
    <s v="Finance"/>
    <d v="2023-01-14T00:00:00"/>
    <d v="2023-02-05T00:00:00"/>
    <n v="41284"/>
    <n v="0.11"/>
    <n v="45825.24"/>
    <s v="Low"/>
    <s v="Ethan"/>
    <x v="2"/>
  </r>
  <r>
    <n v="8"/>
    <s v="emp8"/>
    <s v="Employee 8"/>
    <s v="emp8@company.com"/>
    <s v="HR"/>
    <d v="2022-05-29T00:00:00"/>
    <d v="2022-07-11T00:00:00"/>
    <n v="84886"/>
    <n v="0.16"/>
    <n v="98467.76"/>
    <s v="High"/>
    <s v="Alice"/>
    <x v="1"/>
  </r>
  <r>
    <n v="9"/>
    <s v="emp9"/>
    <s v="Employee 9"/>
    <s v="emp9@company.com"/>
    <s v="Finance"/>
    <d v="2023-10-06T00:00:00"/>
    <d v="2023-10-18T00:00:00"/>
    <n v="36265"/>
    <n v="0.08"/>
    <n v="39166.199999999997"/>
    <s v="Low"/>
    <s v="Ethan"/>
    <x v="2"/>
  </r>
  <r>
    <n v="10"/>
    <s v="emp10"/>
    <s v="Employee 10"/>
    <s v="emp10@company.com"/>
    <s v="Marketing"/>
    <d v="2023-05-11T00:00:00"/>
    <d v="2023-06-28T00:00:00"/>
    <n v="46850"/>
    <n v="0.21"/>
    <n v="56688.5"/>
    <s v="Low"/>
    <s v="Charlie"/>
    <x v="5"/>
  </r>
  <r>
    <n v="11"/>
    <s v="emp11"/>
    <s v="Employee 11"/>
    <s v="emp11@company.com"/>
    <s v="N/A"/>
    <d v="2022-12-23T00:00:00"/>
    <d v="2023-01-12T00:00:00"/>
    <n v="67194"/>
    <n v="0.06"/>
    <n v="71225.64"/>
    <s v="Average"/>
    <s v="N/A"/>
    <x v="3"/>
  </r>
  <r>
    <n v="12"/>
    <s v="emp12"/>
    <s v="Employee 12"/>
    <s v="emp12@company.com"/>
    <s v="Sales"/>
    <d v="2022-12-28T00:00:00"/>
    <d v="2023-01-20T00:00:00"/>
    <n v="51962"/>
    <n v="0.25"/>
    <n v="64952.5"/>
    <s v="Average"/>
    <s v="Bob"/>
    <x v="0"/>
  </r>
  <r>
    <n v="13"/>
    <s v="emp13"/>
    <s v="Employee 13"/>
    <s v="emp13@company.com"/>
    <s v="Sales"/>
    <d v="2022-06-14T00:00:00"/>
    <d v="2022-07-25T00:00:00"/>
    <n v="77191"/>
    <n v="0.2"/>
    <n v="92629.2"/>
    <s v="High"/>
    <s v="Bob"/>
    <x v="0"/>
  </r>
  <r>
    <n v="14"/>
    <s v="emp14"/>
    <s v="Employee 14"/>
    <s v="emp14@company.com"/>
    <s v="Marketing"/>
    <d v="2022-04-11T00:00:00"/>
    <d v="2022-05-14T00:00:00"/>
    <n v="74131"/>
    <n v="0.09"/>
    <n v="80802.789999999994"/>
    <s v="High"/>
    <s v="Charlie"/>
    <x v="5"/>
  </r>
  <r>
    <n v="15"/>
    <s v="emp15"/>
    <s v="Employee 15"/>
    <s v="emp15@company.com"/>
    <s v="Finance"/>
    <d v="2022-12-21T00:00:00"/>
    <d v="2023-01-26T00:00:00"/>
    <n v="46023"/>
    <n v="0.05"/>
    <n v="48324.15"/>
    <s v="Low"/>
    <s v="Ethan"/>
    <x v="2"/>
  </r>
  <r>
    <n v="16"/>
    <s v="emp16"/>
    <s v="Employee 16"/>
    <s v="N/A"/>
    <s v="HR"/>
    <d v="2023-07-31T00:00:00"/>
    <d v="2023-09-12T00:00:00"/>
    <n v="71090"/>
    <n v="0.21"/>
    <n v="86018.9"/>
    <s v="High"/>
    <s v="Alice"/>
    <x v="1"/>
  </r>
  <r>
    <n v="17"/>
    <s v="emp17"/>
    <s v="Employee 17"/>
    <s v="emp17@company.com"/>
    <s v="N/A"/>
    <d v="2023-05-21T00:00:00"/>
    <d v="2023-06-19T00:00:00"/>
    <n v="31685"/>
    <n v="0.19"/>
    <n v="37705.15"/>
    <s v="Low"/>
    <s v="N/A"/>
    <x v="3"/>
  </r>
  <r>
    <n v="18"/>
    <s v="emp18"/>
    <s v="Employee 18"/>
    <s v="emp18@company.com"/>
    <s v="Marketing"/>
    <d v="2023-10-17T00:00:00"/>
    <d v="2023-11-22T00:00:00"/>
    <n v="30769"/>
    <n v="0.2"/>
    <n v="36922.800000000003"/>
    <s v="Low"/>
    <s v="Charlie"/>
    <x v="5"/>
  </r>
  <r>
    <n v="19"/>
    <s v="emp19"/>
    <s v="Employee 19"/>
    <s v="emp19@company.com"/>
    <s v="N/A"/>
    <d v="2022-07-28T00:00:00"/>
    <d v="2022-08-20T00:00:00"/>
    <n v="89735"/>
    <n v="0.2"/>
    <n v="107682"/>
    <s v="High"/>
    <s v="N/A"/>
    <x v="3"/>
  </r>
  <r>
    <n v="20"/>
    <s v="emp20"/>
    <s v="Employee 20"/>
    <s v="emp20@company.com"/>
    <s v="Marketing"/>
    <d v="2022-04-10T00:00:00"/>
    <d v="2022-06-05T00:00:00"/>
    <n v="86101"/>
    <n v="0.06"/>
    <n v="91267.06"/>
    <s v="High"/>
    <s v="Charlie"/>
    <x v="5"/>
  </r>
  <r>
    <n v="21"/>
    <s v="emp21"/>
    <s v="Employee 21"/>
    <s v="emp21@company.com"/>
    <s v="HR"/>
    <d v="2024-02-17T00:00:00"/>
    <d v="2024-04-06T00:00:00"/>
    <n v="32433"/>
    <n v="0.12"/>
    <n v="36324.959999999999"/>
    <s v="Low"/>
    <s v="Alice"/>
    <x v="1"/>
  </r>
  <r>
    <n v="22"/>
    <s v="emp22"/>
    <s v="Employee 22"/>
    <s v="emp22@company.com"/>
    <s v="Finance"/>
    <d v="2022-10-02T00:00:00"/>
    <d v="2022-10-30T00:00:00"/>
    <n v="35311"/>
    <n v="7.0000000000000007E-2"/>
    <n v="37782.769999999997"/>
    <s v="Low"/>
    <s v="Ethan"/>
    <x v="2"/>
  </r>
  <r>
    <n v="23"/>
    <s v="emp23"/>
    <s v="Employee 23"/>
    <s v="emp23@company.com"/>
    <s v="Finance"/>
    <d v="2023-10-14T00:00:00"/>
    <d v="2023-10-29T00:00:00"/>
    <n v="67819"/>
    <n v="0.22"/>
    <n v="82739.179999999993"/>
    <s v="Average"/>
    <s v="Ethan"/>
    <x v="2"/>
  </r>
  <r>
    <n v="24"/>
    <s v="emp24"/>
    <s v="Employee 24"/>
    <s v="emp24@company.com"/>
    <s v="N/A"/>
    <d v="2023-08-26T00:00:00"/>
    <d v="2023-09-13T00:00:00"/>
    <n v="69188"/>
    <n v="0.17"/>
    <n v="80949.960000000006"/>
    <s v="Average"/>
    <s v="N/A"/>
    <x v="3"/>
  </r>
  <r>
    <n v="25"/>
    <s v="emp25"/>
    <s v="Employee 25"/>
    <s v="emp25@company.com"/>
    <s v="Finance"/>
    <d v="2022-05-06T00:00:00"/>
    <d v="2022-06-21T00:00:00"/>
    <n v="47568"/>
    <n v="0.12"/>
    <n v="53276.160000000003"/>
    <s v="Low"/>
    <s v="Ethan"/>
    <x v="2"/>
  </r>
  <r>
    <n v="26"/>
    <s v="emp26"/>
    <s v="Employee 26"/>
    <s v="emp26@company.com"/>
    <s v="IT"/>
    <d v="2022-04-05T00:00:00"/>
    <d v="2022-04-17T00:00:00"/>
    <n v="83707"/>
    <n v="0.06"/>
    <n v="88729.42"/>
    <s v="High"/>
    <s v="Diana"/>
    <x v="4"/>
  </r>
  <r>
    <n v="27"/>
    <s v="emp27"/>
    <s v="Employee 27"/>
    <s v="emp27@company.com"/>
    <s v="Marketing"/>
    <d v="2023-11-09T00:00:00"/>
    <d v="2024-01-08T00:00:00"/>
    <n v="49769"/>
    <n v="0.11"/>
    <n v="55243.59"/>
    <s v="Low"/>
    <s v="Charlie"/>
    <x v="5"/>
  </r>
  <r>
    <n v="28"/>
    <s v="emp28"/>
    <s v="Employee 28"/>
    <s v="emp28@company.com"/>
    <s v="Finance"/>
    <d v="2023-06-23T00:00:00"/>
    <d v="2023-08-19T00:00:00"/>
    <n v="58693"/>
    <n v="0.12"/>
    <n v="65736.160000000003"/>
    <s v="Average"/>
    <s v="Ethan"/>
    <x v="2"/>
  </r>
  <r>
    <n v="29"/>
    <s v="emp29"/>
    <s v="Employee 29"/>
    <s v="emp29@company.com"/>
    <s v="N/A"/>
    <d v="2023-05-30T00:00:00"/>
    <d v="2023-07-19T00:00:00"/>
    <n v="36396"/>
    <n v="0.2"/>
    <n v="43675.199999999997"/>
    <s v="Low"/>
    <s v="N/A"/>
    <x v="3"/>
  </r>
  <r>
    <n v="30"/>
    <s v="emp30"/>
    <s v="Employee 30"/>
    <s v="emp30@company.com"/>
    <s v="Sales"/>
    <d v="2022-04-24T00:00:00"/>
    <d v="2022-05-04T00:00:00"/>
    <n v="57480"/>
    <n v="0.18"/>
    <n v="67826.399999999994"/>
    <s v="Average"/>
    <s v="Bob"/>
    <x v="0"/>
  </r>
  <r>
    <n v="31"/>
    <s v="emp31"/>
    <s v="Employee 31"/>
    <s v="N/A"/>
    <s v="HR"/>
    <d v="2022-09-04T00:00:00"/>
    <d v="2022-09-24T00:00:00"/>
    <n v="71434"/>
    <n v="0.23"/>
    <n v="87863.82"/>
    <s v="High"/>
    <s v="Alice"/>
    <x v="1"/>
  </r>
  <r>
    <n v="32"/>
    <s v="emp32"/>
    <s v="Employee 32"/>
    <s v="emp32@company.com"/>
    <s v="Marketing"/>
    <d v="2023-12-10T00:00:00"/>
    <d v="2024-01-19T00:00:00"/>
    <n v="55658"/>
    <n v="0.14000000000000001"/>
    <n v="63450.12"/>
    <s v="Average"/>
    <s v="Charlie"/>
    <x v="5"/>
  </r>
  <r>
    <n v="33"/>
    <s v="emp33"/>
    <s v="Employee 33"/>
    <s v="emp33@company.com"/>
    <s v="HR"/>
    <d v="2022-08-31T00:00:00"/>
    <d v="2022-09-22T00:00:00"/>
    <n v="48942"/>
    <n v="7.0000000000000007E-2"/>
    <n v="52367.94"/>
    <s v="Low"/>
    <s v="Alice"/>
    <x v="1"/>
  </r>
  <r>
    <n v="34"/>
    <s v="emp34"/>
    <s v="Employee 34"/>
    <s v="emp34@company.com"/>
    <s v="IT"/>
    <d v="2023-12-15T00:00:00"/>
    <d v="2024-01-28T00:00:00"/>
    <n v="87001"/>
    <n v="0.19"/>
    <n v="103531.19"/>
    <s v="High"/>
    <s v="Diana"/>
    <x v="4"/>
  </r>
  <r>
    <n v="35"/>
    <s v="emp35"/>
    <s v="Employee 35"/>
    <s v="emp35@company.com"/>
    <s v="HR"/>
    <d v="2024-03-05T00:00:00"/>
    <d v="2024-04-24T00:00:00"/>
    <n v="48431"/>
    <n v="0.2"/>
    <n v="58117.2"/>
    <s v="Low"/>
    <s v="Alice"/>
    <x v="1"/>
  </r>
  <r>
    <n v="36"/>
    <s v="emp36"/>
    <s v="Employee 36"/>
    <s v="emp36@company.com"/>
    <s v="Marketing"/>
    <d v="2022-05-19T00:00:00"/>
    <d v="2022-06-18T00:00:00"/>
    <n v="32747"/>
    <n v="0.16"/>
    <n v="37986.519999999997"/>
    <s v="Low"/>
    <s v="Charlie"/>
    <x v="5"/>
  </r>
  <r>
    <n v="37"/>
    <s v="emp37"/>
    <s v="Employee 37"/>
    <s v="emp37@company.com"/>
    <s v="IT"/>
    <d v="2022-07-18T00:00:00"/>
    <d v="2022-09-12T00:00:00"/>
    <n v="88319"/>
    <n v="0.2"/>
    <n v="105982.8"/>
    <s v="High"/>
    <s v="Diana"/>
    <x v="4"/>
  </r>
  <r>
    <n v="38"/>
    <s v="emp38"/>
    <s v="Employee 38"/>
    <s v="emp38@company.com"/>
    <s v="N/A"/>
    <d v="2023-02-23T00:00:00"/>
    <d v="2023-03-25T00:00:00"/>
    <n v="89150"/>
    <n v="0.15"/>
    <n v="102522.5"/>
    <s v="High"/>
    <s v="N/A"/>
    <x v="3"/>
  </r>
  <r>
    <n v="39"/>
    <s v="emp39"/>
    <s v="Employee 39"/>
    <s v="emp39@company.com"/>
    <s v="Finance"/>
    <d v="2022-09-08T00:00:00"/>
    <d v="2022-10-01T00:00:00"/>
    <n v="30189"/>
    <n v="0.15"/>
    <n v="34717.35"/>
    <s v="Low"/>
    <s v="Ethan"/>
    <x v="2"/>
  </r>
  <r>
    <n v="40"/>
    <s v="emp40"/>
    <s v="Employee 40"/>
    <s v="emp40@company.com"/>
    <s v="Marketing"/>
    <d v="2022-08-24T00:00:00"/>
    <d v="2022-09-05T00:00:00"/>
    <n v="49118"/>
    <n v="0.14000000000000001"/>
    <n v="55994.52"/>
    <s v="Low"/>
    <s v="Charlie"/>
    <x v="5"/>
  </r>
  <r>
    <n v="41"/>
    <s v="emp41"/>
    <s v="Employee 41"/>
    <s v="emp41@company.com"/>
    <s v="Sales"/>
    <d v="2023-01-03T00:00:00"/>
    <d v="2023-02-05T00:00:00"/>
    <n v="65773"/>
    <n v="0.06"/>
    <n v="69719.38"/>
    <s v="Average"/>
    <s v="Bob"/>
    <x v="0"/>
  </r>
  <r>
    <n v="42"/>
    <s v="emp42"/>
    <s v="Employee 42"/>
    <s v="emp42@company.com"/>
    <s v="Sales"/>
    <d v="2023-11-01T00:00:00"/>
    <d v="2023-12-02T00:00:00"/>
    <n v="83810"/>
    <n v="7.0000000000000007E-2"/>
    <n v="89676.7"/>
    <s v="High"/>
    <s v="Bob"/>
    <x v="0"/>
  </r>
  <r>
    <n v="43"/>
    <s v="emp43"/>
    <s v="Employee 43"/>
    <s v="emp43@company.com"/>
    <s v="Sales"/>
    <d v="2022-06-05T00:00:00"/>
    <d v="2022-07-10T00:00:00"/>
    <n v="31899"/>
    <n v="0.06"/>
    <n v="33812.94"/>
    <s v="Low"/>
    <s v="Bob"/>
    <x v="0"/>
  </r>
  <r>
    <n v="44"/>
    <s v="emp44"/>
    <s v="Employee 44"/>
    <s v="emp44@company.com"/>
    <s v="IT"/>
    <d v="2023-10-22T00:00:00"/>
    <d v="2023-12-16T00:00:00"/>
    <n v="86886"/>
    <n v="0.18"/>
    <n v="102525.48"/>
    <s v="High"/>
    <s v="Diana"/>
    <x v="4"/>
  </r>
  <r>
    <n v="45"/>
    <s v="emp45"/>
    <s v="Employee 45"/>
    <s v="emp45@company.com"/>
    <s v="Finance"/>
    <d v="2022-08-09T00:00:00"/>
    <d v="2022-08-31T00:00:00"/>
    <n v="31267"/>
    <n v="0.11"/>
    <n v="34706.370000000003"/>
    <s v="Low"/>
    <s v="Ethan"/>
    <x v="2"/>
  </r>
  <r>
    <n v="46"/>
    <s v="emp46"/>
    <s v="Employee 46"/>
    <s v="N/A"/>
    <s v="Sales"/>
    <d v="2023-10-11T00:00:00"/>
    <d v="2023-11-22T00:00:00"/>
    <n v="61551"/>
    <n v="0.15"/>
    <n v="70783.649999999994"/>
    <s v="Average"/>
    <s v="Bob"/>
    <x v="0"/>
  </r>
  <r>
    <n v="47"/>
    <s v="emp47"/>
    <s v="Employee 47"/>
    <s v="emp47@company.com"/>
    <s v="Marketing"/>
    <d v="2022-01-21T00:00:00"/>
    <d v="2022-02-23T00:00:00"/>
    <n v="80680"/>
    <n v="0.23"/>
    <n v="99236.4"/>
    <s v="High"/>
    <s v="Charlie"/>
    <x v="5"/>
  </r>
  <r>
    <n v="48"/>
    <s v="emp48"/>
    <s v="Employee 48"/>
    <s v="emp48@company.com"/>
    <s v="N/A"/>
    <d v="2022-02-25T00:00:00"/>
    <d v="2022-04-24T00:00:00"/>
    <n v="41394"/>
    <n v="0.1"/>
    <n v="45533.4"/>
    <s v="Low"/>
    <s v="N/A"/>
    <x v="3"/>
  </r>
  <r>
    <n v="49"/>
    <s v="emp49"/>
    <s v="Employee 49"/>
    <s v="emp49@company.com"/>
    <s v="IT"/>
    <d v="2022-01-16T00:00:00"/>
    <d v="2022-02-28T00:00:00"/>
    <n v="33556"/>
    <n v="0.13"/>
    <n v="37918.28"/>
    <s v="Low"/>
    <s v="Diana"/>
    <x v="4"/>
  </r>
  <r>
    <n v="50"/>
    <s v="emp50"/>
    <s v="Employee 50"/>
    <s v="emp50@company.com"/>
    <s v="IT"/>
    <d v="2022-03-09T00:00:00"/>
    <d v="2022-03-19T00:00:00"/>
    <n v="33890"/>
    <n v="0.2"/>
    <n v="40668"/>
    <s v="Low"/>
    <s v="Diana"/>
    <x v="4"/>
  </r>
  <r>
    <n v="51"/>
    <s v="emp51"/>
    <s v="Employee 51"/>
    <s v="emp51@company.com"/>
    <s v="N/A"/>
    <d v="2022-10-31T00:00:00"/>
    <d v="2022-12-12T00:00:00"/>
    <n v="71606"/>
    <n v="0.1"/>
    <n v="78766.600000000006"/>
    <s v="High"/>
    <s v="N/A"/>
    <x v="3"/>
  </r>
  <r>
    <n v="52"/>
    <s v="emp52"/>
    <s v="Employee 52"/>
    <s v="emp52@company.com"/>
    <s v="Finance"/>
    <d v="2022-10-12T00:00:00"/>
    <d v="2022-11-02T00:00:00"/>
    <n v="60740"/>
    <n v="7.0000000000000007E-2"/>
    <n v="64991.8"/>
    <s v="Average"/>
    <s v="Ethan"/>
    <x v="2"/>
  </r>
  <r>
    <n v="53"/>
    <s v="emp53"/>
    <s v="Employee 53"/>
    <s v="emp53@company.com"/>
    <s v="Finance"/>
    <d v="2023-03-31T00:00:00"/>
    <d v="2023-05-17T00:00:00"/>
    <n v="44502"/>
    <n v="0.11"/>
    <n v="49397.22"/>
    <s v="Low"/>
    <s v="Ethan"/>
    <x v="2"/>
  </r>
  <r>
    <n v="54"/>
    <s v="emp54"/>
    <s v="Employee 54"/>
    <s v="emp54@company.com"/>
    <s v="Sales"/>
    <d v="2023-11-10T00:00:00"/>
    <d v="2023-11-22T00:00:00"/>
    <n v="51777"/>
    <n v="0.08"/>
    <n v="55919.16"/>
    <s v="Average"/>
    <s v="Bob"/>
    <x v="0"/>
  </r>
  <r>
    <n v="55"/>
    <s v="emp55"/>
    <s v="Employee 55"/>
    <s v="emp55@company.com"/>
    <s v="N/A"/>
    <d v="2022-04-11T00:00:00"/>
    <d v="2022-05-31T00:00:00"/>
    <n v="40627"/>
    <n v="0.24"/>
    <n v="50377.48"/>
    <s v="Low"/>
    <s v="N/A"/>
    <x v="3"/>
  </r>
  <r>
    <n v="56"/>
    <s v="emp56"/>
    <s v="Employee 56"/>
    <s v="emp56@company.com"/>
    <s v="IT"/>
    <d v="2022-05-14T00:00:00"/>
    <d v="2022-05-24T00:00:00"/>
    <n v="38792"/>
    <n v="0.21"/>
    <n v="46938.32"/>
    <s v="Low"/>
    <s v="Diana"/>
    <x v="4"/>
  </r>
  <r>
    <n v="57"/>
    <s v="emp57"/>
    <s v="Employee 57"/>
    <s v="emp57@company.com"/>
    <s v="Sales"/>
    <d v="2023-05-30T00:00:00"/>
    <d v="2023-06-22T00:00:00"/>
    <n v="73323"/>
    <n v="0.18"/>
    <n v="86521.14"/>
    <s v="High"/>
    <s v="Bob"/>
    <x v="0"/>
  </r>
  <r>
    <n v="58"/>
    <s v="emp58"/>
    <s v="Employee 58"/>
    <s v="emp58@company.com"/>
    <s v="IT"/>
    <d v="2022-05-21T00:00:00"/>
    <d v="2022-07-07T00:00:00"/>
    <n v="73021"/>
    <n v="0.22"/>
    <n v="89085.62"/>
    <s v="High"/>
    <s v="Diana"/>
    <x v="4"/>
  </r>
  <r>
    <n v="59"/>
    <s v="emp59"/>
    <s v="Employee 59"/>
    <s v="emp59@company.com"/>
    <s v="Finance"/>
    <d v="2023-05-06T00:00:00"/>
    <d v="2023-05-22T00:00:00"/>
    <n v="38433"/>
    <n v="0.21"/>
    <n v="46503.93"/>
    <s v="Low"/>
    <s v="Ethan"/>
    <x v="2"/>
  </r>
  <r>
    <n v="60"/>
    <s v="emp60"/>
    <s v="Employee 60"/>
    <s v="emp60@company.com"/>
    <s v="Marketing"/>
    <d v="2023-06-05T00:00:00"/>
    <d v="2023-07-01T00:00:00"/>
    <n v="73001"/>
    <n v="0.09"/>
    <n v="79571.09"/>
    <s v="High"/>
    <s v="Charlie"/>
    <x v="5"/>
  </r>
  <r>
    <n v="61"/>
    <s v="emp61"/>
    <s v="Employee 61"/>
    <s v="N/A"/>
    <s v="Marketing"/>
    <d v="2023-07-14T00:00:00"/>
    <d v="2023-08-08T00:00:00"/>
    <n v="41016"/>
    <n v="0.23"/>
    <n v="50449.68"/>
    <s v="Low"/>
    <s v="Charlie"/>
    <x v="5"/>
  </r>
  <r>
    <n v="62"/>
    <s v="emp62"/>
    <s v="Employee 62"/>
    <s v="emp62@company.com"/>
    <s v="N/A"/>
    <d v="2023-06-04T00:00:00"/>
    <d v="2023-06-15T00:00:00"/>
    <n v="53897"/>
    <n v="0.16"/>
    <n v="62520.52"/>
    <s v="Average"/>
    <s v="N/A"/>
    <x v="3"/>
  </r>
  <r>
    <n v="63"/>
    <s v="emp63"/>
    <s v="Employee 63"/>
    <s v="emp63@company.com"/>
    <s v="IT"/>
    <d v="2022-05-01T00:00:00"/>
    <d v="2022-06-16T00:00:00"/>
    <n v="32612"/>
    <n v="0.21"/>
    <n v="39460.519999999997"/>
    <s v="Low"/>
    <s v="Diana"/>
    <x v="4"/>
  </r>
  <r>
    <n v="64"/>
    <s v="emp64"/>
    <s v="Employee 64"/>
    <s v="emp64@company.com"/>
    <s v="IT"/>
    <d v="2022-12-11T00:00:00"/>
    <d v="2023-01-06T00:00:00"/>
    <n v="86193"/>
    <n v="0.23"/>
    <n v="106017.39"/>
    <s v="High"/>
    <s v="Diana"/>
    <x v="4"/>
  </r>
  <r>
    <n v="65"/>
    <s v="emp65"/>
    <s v="Employee 65"/>
    <s v="emp65@company.com"/>
    <s v="Finance"/>
    <d v="2022-04-03T00:00:00"/>
    <d v="2022-05-24T00:00:00"/>
    <n v="88707"/>
    <n v="0.11"/>
    <n v="98464.77"/>
    <s v="High"/>
    <s v="Ethan"/>
    <x v="2"/>
  </r>
  <r>
    <n v="66"/>
    <s v="emp66"/>
    <s v="Employee 66"/>
    <s v="emp66@company.com"/>
    <s v="Marketing"/>
    <d v="2023-12-06T00:00:00"/>
    <d v="2023-12-29T00:00:00"/>
    <n v="85387"/>
    <n v="7.0000000000000007E-2"/>
    <n v="91364.09"/>
    <s v="High"/>
    <s v="Charlie"/>
    <x v="5"/>
  </r>
  <r>
    <n v="67"/>
    <s v="emp67"/>
    <s v="Employee 67"/>
    <s v="emp67@company.com"/>
    <s v="N/A"/>
    <d v="2024-02-11T00:00:00"/>
    <d v="2024-02-22T00:00:00"/>
    <n v="84638"/>
    <n v="0.1"/>
    <n v="93101.8"/>
    <s v="High"/>
    <s v="N/A"/>
    <x v="3"/>
  </r>
  <r>
    <n v="68"/>
    <s v="emp68"/>
    <s v="Employee 68"/>
    <s v="emp68@company.com"/>
    <s v="Finance"/>
    <d v="2023-02-25T00:00:00"/>
    <d v="2023-03-30T00:00:00"/>
    <n v="53483"/>
    <n v="0.14000000000000001"/>
    <n v="60970.62"/>
    <s v="Average"/>
    <s v="Ethan"/>
    <x v="2"/>
  </r>
  <r>
    <n v="69"/>
    <s v="emp69"/>
    <s v="Employee 69"/>
    <s v="emp69@company.com"/>
    <s v="Finance"/>
    <d v="2023-01-01T00:00:00"/>
    <d v="2023-01-22T00:00:00"/>
    <n v="88822"/>
    <n v="0.21"/>
    <n v="107474.62"/>
    <s v="High"/>
    <s v="Ethan"/>
    <x v="2"/>
  </r>
  <r>
    <n v="70"/>
    <s v="emp70"/>
    <s v="Employee 70"/>
    <s v="emp70@company.com"/>
    <s v="N/A"/>
    <d v="2022-02-20T00:00:00"/>
    <d v="2022-04-14T00:00:00"/>
    <n v="78555"/>
    <n v="0.22"/>
    <n v="95837.1"/>
    <s v="High"/>
    <s v="N/A"/>
    <x v="3"/>
  </r>
  <r>
    <n v="71"/>
    <s v="emp71"/>
    <s v="Employee 71"/>
    <s v="emp71@company.com"/>
    <s v="Finance"/>
    <d v="2023-04-23T00:00:00"/>
    <d v="2023-05-15T00:00:00"/>
    <n v="89900"/>
    <n v="0.05"/>
    <n v="94395"/>
    <s v="High"/>
    <s v="Ethan"/>
    <x v="2"/>
  </r>
  <r>
    <n v="72"/>
    <s v="emp72"/>
    <s v="Employee 72"/>
    <s v="emp72@company.com"/>
    <s v="N/A"/>
    <d v="2024-02-27T00:00:00"/>
    <d v="2024-03-25T00:00:00"/>
    <n v="47159"/>
    <n v="0.15"/>
    <n v="54232.85"/>
    <s v="Low"/>
    <s v="N/A"/>
    <x v="3"/>
  </r>
  <r>
    <n v="73"/>
    <s v="emp73"/>
    <s v="Employee 73"/>
    <s v="emp73@company.com"/>
    <s v="IT"/>
    <d v="2023-01-13T00:00:00"/>
    <d v="2023-02-04T00:00:00"/>
    <n v="74974"/>
    <n v="0.13"/>
    <n v="84720.62"/>
    <s v="High"/>
    <s v="Diana"/>
    <x v="4"/>
  </r>
  <r>
    <n v="74"/>
    <s v="emp74"/>
    <s v="Employee 74"/>
    <s v="emp74@company.com"/>
    <s v="Marketing"/>
    <d v="2023-02-13T00:00:00"/>
    <d v="2023-03-25T00:00:00"/>
    <n v="70994"/>
    <n v="0.09"/>
    <n v="77383.460000000006"/>
    <s v="High"/>
    <s v="Charlie"/>
    <x v="5"/>
  </r>
  <r>
    <n v="75"/>
    <s v="emp75"/>
    <s v="Employee 75"/>
    <s v="emp75@company.com"/>
    <s v="Finance"/>
    <d v="2023-12-24T00:00:00"/>
    <d v="2024-02-14T00:00:00"/>
    <n v="44541"/>
    <n v="7.0000000000000007E-2"/>
    <n v="47658.87"/>
    <s v="Low"/>
    <s v="Ethan"/>
    <x v="2"/>
  </r>
  <r>
    <n v="76"/>
    <s v="emp76"/>
    <s v="Employee 76"/>
    <s v="N/A"/>
    <s v="Finance"/>
    <d v="2023-03-07T00:00:00"/>
    <d v="2023-03-26T00:00:00"/>
    <n v="65920"/>
    <n v="0.12"/>
    <n v="73830.399999999994"/>
    <s v="Average"/>
    <s v="Ethan"/>
    <x v="2"/>
  </r>
  <r>
    <n v="77"/>
    <s v="emp77"/>
    <s v="Employee 77"/>
    <s v="emp77@company.com"/>
    <s v="Marketing"/>
    <d v="2023-05-15T00:00:00"/>
    <d v="2023-06-18T00:00:00"/>
    <n v="56531"/>
    <n v="0.24"/>
    <n v="70098.44"/>
    <s v="Average"/>
    <s v="Charlie"/>
    <x v="5"/>
  </r>
  <r>
    <n v="78"/>
    <s v="emp78"/>
    <s v="Employee 78"/>
    <s v="emp78@company.com"/>
    <s v="IT"/>
    <d v="2024-02-04T00:00:00"/>
    <d v="2024-03-31T00:00:00"/>
    <n v="31585"/>
    <n v="0.11"/>
    <n v="35059.35"/>
    <s v="Low"/>
    <s v="Diana"/>
    <x v="4"/>
  </r>
  <r>
    <n v="79"/>
    <s v="emp79"/>
    <s v="Employee 79"/>
    <s v="emp79@company.com"/>
    <s v="Sales"/>
    <d v="2023-05-13T00:00:00"/>
    <d v="2023-07-06T00:00:00"/>
    <n v="33943"/>
    <n v="0.15"/>
    <n v="39034.449999999997"/>
    <s v="Low"/>
    <s v="Bob"/>
    <x v="0"/>
  </r>
  <r>
    <n v="80"/>
    <s v="emp80"/>
    <s v="Employee 80"/>
    <s v="emp80@company.com"/>
    <s v="IT"/>
    <d v="2022-01-08T00:00:00"/>
    <d v="2022-02-02T00:00:00"/>
    <n v="53939"/>
    <n v="0.19"/>
    <n v="64187.41"/>
    <s v="Average"/>
    <s v="Diana"/>
    <x v="4"/>
  </r>
  <r>
    <n v="81"/>
    <s v="emp81"/>
    <s v="Employee 81"/>
    <s v="emp81@company.com"/>
    <s v="Finance"/>
    <d v="2023-10-27T00:00:00"/>
    <d v="2023-11-09T00:00:00"/>
    <n v="49457"/>
    <n v="0.12"/>
    <n v="55391.839999999997"/>
    <s v="Low"/>
    <s v="Ethan"/>
    <x v="2"/>
  </r>
  <r>
    <n v="82"/>
    <s v="emp82"/>
    <s v="Employee 82"/>
    <s v="emp82@company.com"/>
    <s v="Sales"/>
    <d v="2022-05-27T00:00:00"/>
    <d v="2022-07-22T00:00:00"/>
    <n v="31021"/>
    <n v="0.24"/>
    <n v="38466.04"/>
    <s v="Low"/>
    <s v="Bob"/>
    <x v="0"/>
  </r>
  <r>
    <n v="83"/>
    <s v="emp83"/>
    <s v="Employee 83"/>
    <s v="emp83@company.com"/>
    <s v="HR"/>
    <d v="2022-02-25T00:00:00"/>
    <d v="2022-03-16T00:00:00"/>
    <n v="41653"/>
    <n v="0.24"/>
    <n v="51649.72"/>
    <s v="Low"/>
    <s v="Alice"/>
    <x v="1"/>
  </r>
  <r>
    <n v="84"/>
    <s v="emp84"/>
    <s v="Employee 84"/>
    <s v="emp84@company.com"/>
    <s v="Sales"/>
    <d v="2022-12-26T00:00:00"/>
    <d v="2023-01-05T00:00:00"/>
    <n v="73573"/>
    <n v="0.1"/>
    <n v="80930.3"/>
    <s v="High"/>
    <s v="Bob"/>
    <x v="0"/>
  </r>
  <r>
    <n v="85"/>
    <s v="emp85"/>
    <s v="Employee 85"/>
    <s v="emp85@company.com"/>
    <s v="N/A"/>
    <d v="2024-01-28T00:00:00"/>
    <d v="2024-03-27T00:00:00"/>
    <n v="43417"/>
    <n v="0.15"/>
    <n v="49929.55"/>
    <s v="Low"/>
    <s v="N/A"/>
    <x v="3"/>
  </r>
  <r>
    <n v="86"/>
    <s v="emp86"/>
    <s v="Employee 86"/>
    <s v="emp86@company.com"/>
    <s v="Finance"/>
    <d v="2023-01-03T00:00:00"/>
    <d v="2023-01-15T00:00:00"/>
    <n v="82995"/>
    <n v="0.11"/>
    <n v="92124.45"/>
    <s v="High"/>
    <s v="Ethan"/>
    <x v="2"/>
  </r>
  <r>
    <n v="87"/>
    <s v="emp87"/>
    <s v="Employee 87"/>
    <s v="emp87@company.com"/>
    <s v="Finance"/>
    <d v="2023-08-13T00:00:00"/>
    <d v="2023-08-28T00:00:00"/>
    <n v="70757"/>
    <n v="0.11"/>
    <n v="78540.27"/>
    <s v="High"/>
    <s v="Ethan"/>
    <x v="2"/>
  </r>
  <r>
    <n v="88"/>
    <s v="emp88"/>
    <s v="Employee 88"/>
    <s v="emp88@company.com"/>
    <s v="Finance"/>
    <d v="2023-07-03T00:00:00"/>
    <d v="2023-08-27T00:00:00"/>
    <n v="39692"/>
    <n v="0.06"/>
    <n v="42073.52"/>
    <s v="Low"/>
    <s v="Ethan"/>
    <x v="2"/>
  </r>
  <r>
    <n v="89"/>
    <s v="emp89"/>
    <s v="Employee 89"/>
    <s v="emp89@company.com"/>
    <s v="Finance"/>
    <d v="2023-05-13T00:00:00"/>
    <d v="2023-06-12T00:00:00"/>
    <n v="75758"/>
    <n v="0.17"/>
    <n v="88636.86"/>
    <s v="High"/>
    <s v="Ethan"/>
    <x v="2"/>
  </r>
  <r>
    <n v="90"/>
    <s v="emp90"/>
    <s v="Employee 90"/>
    <s v="emp90@company.com"/>
    <s v="N/A"/>
    <d v="2023-06-09T00:00:00"/>
    <d v="2023-07-13T00:00:00"/>
    <n v="36873"/>
    <n v="0.15"/>
    <n v="42403.95"/>
    <s v="Low"/>
    <s v="N/A"/>
    <x v="3"/>
  </r>
  <r>
    <n v="91"/>
    <s v="emp91"/>
    <s v="Employee 91"/>
    <s v="N/A"/>
    <s v="HR"/>
    <d v="2024-01-07T00:00:00"/>
    <d v="2024-02-01T00:00:00"/>
    <n v="35675"/>
    <n v="0.06"/>
    <n v="37815.5"/>
    <s v="Low"/>
    <s v="Alice"/>
    <x v="1"/>
  </r>
  <r>
    <n v="92"/>
    <s v="emp92"/>
    <s v="Employee 92"/>
    <s v="emp92@company.com"/>
    <s v="IT"/>
    <d v="2023-07-20T00:00:00"/>
    <d v="2023-09-04T00:00:00"/>
    <n v="30161"/>
    <n v="0.11"/>
    <n v="33478.71"/>
    <s v="Low"/>
    <s v="Diana"/>
    <x v="4"/>
  </r>
  <r>
    <n v="93"/>
    <s v="emp93"/>
    <s v="Employee 93"/>
    <s v="emp93@company.com"/>
    <s v="Finance"/>
    <d v="2023-08-12T00:00:00"/>
    <d v="2023-09-25T00:00:00"/>
    <n v="67065"/>
    <n v="0.23"/>
    <n v="82489.95"/>
    <s v="Average"/>
    <s v="Ethan"/>
    <x v="2"/>
  </r>
  <r>
    <n v="94"/>
    <s v="emp94"/>
    <s v="Employee 94"/>
    <s v="emp94@company.com"/>
    <s v="Marketing"/>
    <d v="2022-02-23T00:00:00"/>
    <d v="2022-04-12T00:00:00"/>
    <n v="56557"/>
    <n v="0.1"/>
    <n v="62212.7"/>
    <s v="Average"/>
    <s v="Charlie"/>
    <x v="5"/>
  </r>
  <r>
    <n v="95"/>
    <s v="emp95"/>
    <s v="Employee 95"/>
    <s v="emp95@company.com"/>
    <s v="Finance"/>
    <d v="2024-02-26T00:00:00"/>
    <d v="2024-04-12T00:00:00"/>
    <n v="63763"/>
    <n v="0.08"/>
    <n v="68864.039999999994"/>
    <s v="Average"/>
    <s v="Ethan"/>
    <x v="2"/>
  </r>
  <r>
    <n v="96"/>
    <s v="emp96"/>
    <s v="Employee 96"/>
    <s v="emp96@company.com"/>
    <s v="Finance"/>
    <d v="2022-11-06T00:00:00"/>
    <d v="2022-11-30T00:00:00"/>
    <n v="62606"/>
    <n v="0.15"/>
    <n v="71996.899999999994"/>
    <s v="Average"/>
    <s v="Ethan"/>
    <x v="2"/>
  </r>
  <r>
    <n v="97"/>
    <s v="emp97"/>
    <s v="Employee 97"/>
    <s v="emp97@company.com"/>
    <s v="N/A"/>
    <d v="2022-03-28T00:00:00"/>
    <d v="2022-04-08T00:00:00"/>
    <n v="41534"/>
    <n v="0.25"/>
    <n v="51917.5"/>
    <s v="Low"/>
    <s v="N/A"/>
    <x v="3"/>
  </r>
  <r>
    <n v="98"/>
    <s v="emp98"/>
    <s v="Employee 98"/>
    <s v="emp98@company.com"/>
    <s v="N/A"/>
    <d v="2023-06-20T00:00:00"/>
    <d v="2023-07-30T00:00:00"/>
    <n v="59127"/>
    <n v="0.1"/>
    <n v="65039.7"/>
    <s v="Average"/>
    <s v="N/A"/>
    <x v="3"/>
  </r>
  <r>
    <n v="99"/>
    <s v="emp99"/>
    <s v="Employee 99"/>
    <s v="emp99@company.com"/>
    <s v="Sales"/>
    <d v="2023-12-30T00:00:00"/>
    <d v="2024-01-20T00:00:00"/>
    <n v="70397"/>
    <n v="0.18"/>
    <n v="83068.460000000006"/>
    <s v="High"/>
    <s v="Bob"/>
    <x v="0"/>
  </r>
  <r>
    <n v="100"/>
    <s v="emp100"/>
    <s v="Employee 100"/>
    <s v="emp100@company.com"/>
    <s v="Finance"/>
    <d v="2023-07-12T00:00:00"/>
    <d v="2023-08-02T00:00:00"/>
    <n v="55851"/>
    <n v="0.2"/>
    <n v="67021.2"/>
    <s v="Average"/>
    <s v="Ethan"/>
    <x v="2"/>
  </r>
  <r>
    <n v="101"/>
    <s v="newemp101"/>
    <s v="New Employee 101"/>
    <s v="newemp101@company.com"/>
    <s v="HR"/>
    <d v="2024-02-07T00:00:00"/>
    <d v="2024-07-10T00:00:00"/>
    <n v="44688"/>
    <n v="0.21"/>
    <n v="54072.480000000003"/>
    <s v="Low"/>
    <s v="Alice"/>
    <x v="1"/>
  </r>
  <r>
    <n v="102"/>
    <s v="newemp103"/>
    <s v="New Employee 103"/>
    <s v="newemp103@company.com"/>
    <s v="HR"/>
    <d v="2024-01-08T00:00:00"/>
    <d v="2024-07-13T00:00:00"/>
    <n v="69157"/>
    <n v="0.15"/>
    <n v="79530.55"/>
    <s v="Average"/>
    <s v="Alice"/>
    <x v="1"/>
  </r>
  <r>
    <n v="103"/>
    <s v="newemp102"/>
    <s v="New Employee 102"/>
    <s v="newemp102@company.com"/>
    <s v="Sales"/>
    <d v="2024-06-10T00:00:00"/>
    <d v="2024-07-02T00:00:00"/>
    <n v="57342"/>
    <n v="0.08"/>
    <n v="61929.36"/>
    <s v="Average"/>
    <s v="Bob"/>
    <x v="0"/>
  </r>
  <r>
    <n v="104"/>
    <s v="newemp104"/>
    <s v="New Employee 104"/>
    <s v="newemp104@company.com"/>
    <s v="Marketing"/>
    <d v="2024-01-12T00:00:00"/>
    <d v="2024-07-25T00:00:00"/>
    <n v="34327"/>
    <n v="0.19"/>
    <n v="40849.129999999997"/>
    <s v="Low"/>
    <s v="Charlie"/>
    <x v="5"/>
  </r>
  <r>
    <n v="105"/>
    <s v="newemp105"/>
    <s v="New Employee 105"/>
    <s v="newemp105@company.com"/>
    <s v="N/A"/>
    <d v="2024-04-02T00:00:00"/>
    <d v="2024-07-06T00:00:00"/>
    <n v="72772"/>
    <n v="0.22"/>
    <n v="88781.84"/>
    <s v="High"/>
    <s v="N/A"/>
    <x v="3"/>
  </r>
  <r>
    <n v="106"/>
    <s v="newemp106"/>
    <s v="New Employee 106"/>
    <s v="newemp106@company.com"/>
    <s v="Finance"/>
    <d v="2024-04-28T00:00:00"/>
    <d v="2024-07-24T00:00:00"/>
    <n v="72545"/>
    <n v="0.12"/>
    <n v="81250.399999999994"/>
    <s v="High"/>
    <s v="Ethan"/>
    <x v="2"/>
  </r>
  <r>
    <n v="107"/>
    <s v="newemp107"/>
    <s v="New Employee 107"/>
    <s v="newemp107@company.com"/>
    <s v="IT"/>
    <d v="2024-06-02T00:00:00"/>
    <d v="2024-07-22T00:00:00"/>
    <n v="32197"/>
    <n v="0.09"/>
    <n v="35094.730000000003"/>
    <s v="Low"/>
    <s v="Diana"/>
    <x v="4"/>
  </r>
  <r>
    <n v="108"/>
    <s v="newemp108"/>
    <s v="New Employee 108"/>
    <s v="newemp108@company.com"/>
    <s v="Sales"/>
    <d v="2024-01-08T00:00:00"/>
    <d v="2024-07-03T00:00:00"/>
    <n v="55509"/>
    <n v="0.19"/>
    <n v="66055.710000000006"/>
    <s v="Average"/>
    <s v="Bob"/>
    <x v="0"/>
  </r>
  <r>
    <n v="109"/>
    <s v="newemp109"/>
    <s v="New Employee 109"/>
    <s v="newemp109@company.com"/>
    <s v="Marketing"/>
    <d v="2024-04-08T00:00:00"/>
    <d v="2024-07-26T00:00:00"/>
    <n v="66698"/>
    <n v="0.21"/>
    <n v="80704.58"/>
    <s v="Average"/>
    <s v="Charlie"/>
    <x v="5"/>
  </r>
  <r>
    <n v="110"/>
    <s v="newemp110"/>
    <s v="New Employee 110"/>
    <s v="newemp110@company.com"/>
    <s v="IT"/>
    <d v="2024-03-08T00:00:00"/>
    <d v="2024-07-17T00:00:00"/>
    <n v="47087"/>
    <n v="0.12"/>
    <n v="52737.440000000002"/>
    <s v="Low"/>
    <s v="Diana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50B4B-4E52-4738-B28D-A586530DCC5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F3:M11" firstHeaderRow="1" firstDataRow="2" firstDataCol="1"/>
  <pivotFields count="13">
    <pivotField showAll="0"/>
    <pivotField dataField="1" showAll="0">
      <items count="111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2"/>
        <item x="19"/>
        <item x="20"/>
        <item x="21"/>
        <item x="22"/>
        <item x="23"/>
        <item x="24"/>
        <item x="25"/>
        <item x="26"/>
        <item x="27"/>
        <item x="28"/>
        <item x="3"/>
        <item x="29"/>
        <item x="30"/>
        <item x="31"/>
        <item x="32"/>
        <item x="33"/>
        <item x="34"/>
        <item x="35"/>
        <item x="36"/>
        <item x="37"/>
        <item x="38"/>
        <item x="5"/>
        <item x="39"/>
        <item x="40"/>
        <item x="41"/>
        <item x="42"/>
        <item x="43"/>
        <item x="44"/>
        <item x="45"/>
        <item x="46"/>
        <item x="47"/>
        <item x="48"/>
        <item x="1"/>
        <item x="49"/>
        <item x="50"/>
        <item x="51"/>
        <item x="52"/>
        <item x="53"/>
        <item x="54"/>
        <item x="55"/>
        <item x="56"/>
        <item x="57"/>
        <item x="58"/>
        <item x="4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100"/>
        <item x="102"/>
        <item x="101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numFmtId="14" showAll="0"/>
    <pivotField numFmtId="14" showAll="0"/>
    <pivotField numFmtId="164" showAll="0"/>
    <pivotField showAll="0"/>
    <pivotField numFmtId="164"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7">
        <item x="5"/>
        <item x="0"/>
        <item x="4"/>
        <item x="1"/>
        <item x="3"/>
        <item x="2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EmpId" fld="1" subtotal="count" baseField="0" baseItem="0"/>
  </dataFields>
  <formats count="4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4" type="button" dataOnly="0" labelOnly="1" outline="0" axis="axisRow" fieldPosition="0"/>
    </format>
    <format dxfId="2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592FA-F85B-4CC9-9876-24C7FE36E5A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3">
    <pivotField showAll="0"/>
    <pivotField dataField="1" showAll="0">
      <items count="111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2"/>
        <item x="19"/>
        <item x="20"/>
        <item x="21"/>
        <item x="22"/>
        <item x="23"/>
        <item x="24"/>
        <item x="25"/>
        <item x="26"/>
        <item x="27"/>
        <item x="28"/>
        <item x="3"/>
        <item x="29"/>
        <item x="30"/>
        <item x="31"/>
        <item x="32"/>
        <item x="33"/>
        <item x="34"/>
        <item x="35"/>
        <item x="36"/>
        <item x="37"/>
        <item x="38"/>
        <item x="5"/>
        <item x="39"/>
        <item x="40"/>
        <item x="41"/>
        <item x="42"/>
        <item x="43"/>
        <item x="44"/>
        <item x="45"/>
        <item x="46"/>
        <item x="47"/>
        <item x="48"/>
        <item x="1"/>
        <item x="49"/>
        <item x="50"/>
        <item x="51"/>
        <item x="52"/>
        <item x="53"/>
        <item x="54"/>
        <item x="55"/>
        <item x="56"/>
        <item x="57"/>
        <item x="58"/>
        <item x="4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100"/>
        <item x="102"/>
        <item x="101"/>
        <item x="103"/>
        <item x="104"/>
        <item x="105"/>
        <item x="106"/>
        <item x="107"/>
        <item x="108"/>
        <item x="109"/>
        <item t="default"/>
      </items>
    </pivotField>
    <pivotField showAll="0"/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numFmtId="14" showAll="0"/>
    <pivotField numFmtId="14" showAll="0"/>
    <pivotField dataField="1" numFmtId="164" showAll="0"/>
    <pivotField showAll="0"/>
    <pivotField numFmtId="164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1" subtotal="count" baseField="0" baseItem="0"/>
    <dataField name="Sum of Salary" fld="7" baseField="0" baseItem="0" numFmtId="164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9EAD8-54A4-4B3A-B6C4-3E410E5C032C}" name="PivotTable3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B9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0"/>
        <item x="4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Bonus %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8B7FE7E-0CAB-4DDB-9805-0F07BCFD791A}" autoFormatId="16" applyNumberFormats="0" applyBorderFormats="0" applyFontFormats="0" applyPatternFormats="0" applyAlignmentFormats="0" applyWidthHeightFormats="0">
  <queryTableRefresh nextId="14">
    <queryTableFields count="13">
      <queryTableField id="1" name="Index" tableColumnId="1"/>
      <queryTableField id="2" name="EmpId" tableColumnId="2"/>
      <queryTableField id="3" name="Full Name" tableColumnId="3"/>
      <queryTableField id="4" name="Email" tableColumnId="4"/>
      <queryTableField id="5" name="Department" tableColumnId="5"/>
      <queryTableField id="6" name="Join Date" tableColumnId="6"/>
      <queryTableField id="7" name="End Date" tableColumnId="7"/>
      <queryTableField id="8" name="Salary" tableColumnId="8"/>
      <queryTableField id="9" name="Bonus %" tableColumnId="9"/>
      <queryTableField id="10" name="Total Salary" tableColumnId="10"/>
      <queryTableField id="11" name="Salary Status" tableColumnId="11"/>
      <queryTableField id="12" name="Department Head" tableColumnId="12"/>
      <queryTableField id="13" name="Locatio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A0BCB53-95A4-465B-90E9-6F3194D11D0F}" autoFormatId="16" applyNumberFormats="0" applyBorderFormats="0" applyFontFormats="0" applyPatternFormats="0" applyAlignmentFormats="0" applyWidthHeightFormats="0">
  <queryTableRefresh nextId="14">
    <queryTableFields count="13">
      <queryTableField id="1" name="Index" tableColumnId="1"/>
      <queryTableField id="2" name="EmpId" tableColumnId="2"/>
      <queryTableField id="3" name="Full Name" tableColumnId="3"/>
      <queryTableField id="4" name="Email" tableColumnId="4"/>
      <queryTableField id="5" name="Department" tableColumnId="5"/>
      <queryTableField id="6" name="Join Date" tableColumnId="6"/>
      <queryTableField id="7" name="End Date" tableColumnId="7"/>
      <queryTableField id="8" name="Salary" tableColumnId="8"/>
      <queryTableField id="9" name="Bonus %" tableColumnId="9"/>
      <queryTableField id="10" name="Total Salary" tableColumnId="10"/>
      <queryTableField id="11" name="Salary Status" tableColumnId="11"/>
      <queryTableField id="12" name="Department Head" tableColumnId="12"/>
      <queryTableField id="13" name="Location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101B60D-5E0C-4488-ACA1-70F0901D9787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FC132D-0AAA-41D7-8765-AF1DE93F4D27}" name="EmployeeTable" displayName="EmployeeTable" ref="A1:M111" tableType="queryTable" totalsRowShown="0" headerRowDxfId="52" dataDxfId="51">
  <tableColumns count="13">
    <tableColumn id="1" xr3:uid="{DA793A1B-6366-40C3-B587-FAD097291CD3}" uniqueName="1" name="Index" queryTableFieldId="1" dataDxfId="50"/>
    <tableColumn id="2" xr3:uid="{1CB781D2-7121-45CE-B988-19A075554A0D}" uniqueName="2" name="EmpId" queryTableFieldId="2" dataDxfId="49"/>
    <tableColumn id="3" xr3:uid="{C52624E8-9102-4992-835E-B19066ED6B03}" uniqueName="3" name="Full Name" queryTableFieldId="3" dataDxfId="48"/>
    <tableColumn id="4" xr3:uid="{2569291D-A0DF-494E-873C-0ABFAF8D2823}" uniqueName="4" name="Email" queryTableFieldId="4" dataDxfId="47"/>
    <tableColumn id="5" xr3:uid="{5C17A0C1-AEBC-40CF-B07B-B81CA0A31E30}" uniqueName="5" name="Department" queryTableFieldId="5" dataDxfId="46"/>
    <tableColumn id="6" xr3:uid="{00A48E3C-2449-44B9-BDD0-58B2DE6FDB0C}" uniqueName="6" name="Join Date" queryTableFieldId="6" dataDxfId="45"/>
    <tableColumn id="7" xr3:uid="{41E97782-8247-4CE1-ACFB-3A1CF49633F7}" uniqueName="7" name="End Date" queryTableFieldId="7" dataDxfId="44"/>
    <tableColumn id="8" xr3:uid="{548DE3F9-98DB-444E-8ACC-DFC37BDF6780}" uniqueName="8" name="Salary" queryTableFieldId="8" dataDxfId="43"/>
    <tableColumn id="9" xr3:uid="{F2A60406-AF17-43F1-8056-333C9E2A739C}" uniqueName="9" name="Bonus %" queryTableFieldId="9" dataDxfId="42"/>
    <tableColumn id="10" xr3:uid="{767F7B76-6A68-4CB7-9378-80EE436C7405}" uniqueName="10" name="Total Salary" queryTableFieldId="10" dataDxfId="41"/>
    <tableColumn id="11" xr3:uid="{E00CC39E-2B70-404B-9039-2AA3DA05AD93}" uniqueName="11" name="Salary Status" queryTableFieldId="11" dataDxfId="40"/>
    <tableColumn id="12" xr3:uid="{77985515-E5BB-4BCD-9828-59E6E08EEFCB}" uniqueName="12" name="Department Head" queryTableFieldId="12" dataDxfId="39"/>
    <tableColumn id="13" xr3:uid="{5B1AF483-FE60-4B0A-8840-972C02CF7555}" uniqueName="13" name="Location" queryTableFieldId="13" dataDxfId="3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01524-FA71-4DA6-8A7D-DC36C1DCB141}" name="MoreEmployees" displayName="MoreEmployees" ref="A1:M11" tableType="queryTable" totalsRowShown="0" headerRowDxfId="27" dataDxfId="26">
  <tableColumns count="13">
    <tableColumn id="1" xr3:uid="{51DD308B-BACA-447F-BC60-9A006FD1EA52}" uniqueName="1" name="Index" queryTableFieldId="1" dataDxfId="25"/>
    <tableColumn id="2" xr3:uid="{47A013FB-D497-476C-96EA-E14B2E1528D3}" uniqueName="2" name="EmpId" queryTableFieldId="2" dataDxfId="24"/>
    <tableColumn id="3" xr3:uid="{000FE615-868F-467B-A114-C13B4CC6925D}" uniqueName="3" name="Full Name" queryTableFieldId="3" dataDxfId="23"/>
    <tableColumn id="4" xr3:uid="{DA99E87D-5F53-4B07-B01F-7E592262337B}" uniqueName="4" name="Email" queryTableFieldId="4" dataDxfId="22"/>
    <tableColumn id="5" xr3:uid="{DFF0D2DE-83E5-43E7-BF76-28A5C2AA8D1A}" uniqueName="5" name="Department" queryTableFieldId="5" dataDxfId="21"/>
    <tableColumn id="6" xr3:uid="{11BC9DC0-9937-45A1-B9A6-4A5B6A293593}" uniqueName="6" name="Join Date" queryTableFieldId="6" dataDxfId="20"/>
    <tableColumn id="7" xr3:uid="{D7C44D85-8A56-4A3A-A4AC-35268C7E174C}" uniqueName="7" name="End Date" queryTableFieldId="7" dataDxfId="19"/>
    <tableColumn id="8" xr3:uid="{67F089C2-0A5B-4EAB-A639-A95C93CD06AE}" uniqueName="8" name="Salary" queryTableFieldId="8" dataDxfId="18"/>
    <tableColumn id="9" xr3:uid="{2C822E22-17FE-45B4-9570-1779C63FA58C}" uniqueName="9" name="Bonus %" queryTableFieldId="9" dataDxfId="17"/>
    <tableColumn id="10" xr3:uid="{137D999F-C6CE-4B94-B867-EB3D39FE5155}" uniqueName="10" name="Total Salary" queryTableFieldId="10" dataDxfId="16"/>
    <tableColumn id="11" xr3:uid="{0838E9AA-8D24-4A8A-AC4B-27BE5D896200}" uniqueName="11" name="Salary Status" queryTableFieldId="11" dataDxfId="15"/>
    <tableColumn id="12" xr3:uid="{8AF2B2BF-08B3-46F8-B972-0FB52C3BCED6}" uniqueName="12" name="Department Head" queryTableFieldId="12" dataDxfId="14"/>
    <tableColumn id="13" xr3:uid="{C7188D74-2981-44CE-9D08-248DF89FDF3C}" uniqueName="13" name="Location" queryTableFieldId="13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71C664-A7A3-47BD-BDE9-734E14DDEE50}" name="DepartmentData" displayName="DepartmentData" ref="A1:C6" tableType="queryTable" totalsRowShown="0" headerRowDxfId="12" dataDxfId="10" headerRowBorderDxfId="11" tableBorderDxfId="9" totalsRowBorderDxfId="8">
  <tableColumns count="3">
    <tableColumn id="1" xr3:uid="{650E342F-2512-4DA1-A985-8C8CF1151027}" uniqueName="1" name="Department" queryTableFieldId="1" dataDxfId="7"/>
    <tableColumn id="2" xr3:uid="{9CAB9D2E-7453-42F2-BCD7-F0DFCBFAEDDB}" uniqueName="2" name="Department Head" queryTableFieldId="2" dataDxfId="6"/>
    <tableColumn id="3" xr3:uid="{97F955EA-4D50-4FCE-9CBF-E5A826B2DDBE}" uniqueName="3" name="Location" queryTableFieldId="3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6174-934C-420B-B7A2-8C1F71F0BEF6}">
  <dimension ref="A3:M21"/>
  <sheetViews>
    <sheetView zoomScaleNormal="100" workbookViewId="0">
      <selection activeCell="I10" sqref="I10"/>
    </sheetView>
  </sheetViews>
  <sheetFormatPr defaultRowHeight="18" customHeight="1" x14ac:dyDescent="0.3"/>
  <cols>
    <col min="1" max="1" width="12.5546875" bestFit="1" customWidth="1"/>
    <col min="2" max="2" width="14.33203125" bestFit="1" customWidth="1"/>
    <col min="3" max="3" width="13.21875" bestFit="1" customWidth="1"/>
    <col min="4" max="4" width="10.21875" bestFit="1" customWidth="1"/>
    <col min="5" max="5" width="8.109375" bestFit="1" customWidth="1"/>
    <col min="6" max="6" width="14.33203125" bestFit="1" customWidth="1"/>
    <col min="7" max="7" width="9.44140625" bestFit="1" customWidth="1"/>
    <col min="8" max="8" width="5.21875" bestFit="1" customWidth="1"/>
    <col min="9" max="9" width="10.21875" bestFit="1" customWidth="1"/>
    <col min="10" max="10" width="8.109375" bestFit="1" customWidth="1"/>
    <col min="11" max="11" width="4.44140625" bestFit="1" customWidth="1"/>
    <col min="12" max="12" width="5.33203125" bestFit="1" customWidth="1"/>
    <col min="13" max="13" width="10.77734375" bestFit="1" customWidth="1"/>
    <col min="14" max="14" width="9.44140625" bestFit="1" customWidth="1"/>
    <col min="15" max="15" width="5.21875" bestFit="1" customWidth="1"/>
    <col min="16" max="16" width="10.21875" bestFit="1" customWidth="1"/>
    <col min="17" max="17" width="8.109375" bestFit="1" customWidth="1"/>
    <col min="18" max="18" width="4.44140625" bestFit="1" customWidth="1"/>
    <col min="19" max="19" width="5.33203125" bestFit="1" customWidth="1"/>
    <col min="20" max="21" width="9.44140625" bestFit="1" customWidth="1"/>
    <col min="22" max="22" width="5.21875" bestFit="1" customWidth="1"/>
    <col min="23" max="23" width="10.21875" bestFit="1" customWidth="1"/>
    <col min="24" max="24" width="8.109375" bestFit="1" customWidth="1"/>
    <col min="25" max="25" width="4.44140625" bestFit="1" customWidth="1"/>
    <col min="26" max="26" width="5.33203125" bestFit="1" customWidth="1"/>
    <col min="27" max="27" width="9.109375" bestFit="1" customWidth="1"/>
    <col min="28" max="28" width="10.77734375" bestFit="1" customWidth="1"/>
    <col min="29" max="29" width="14.33203125" bestFit="1" customWidth="1"/>
    <col min="30" max="30" width="12.5546875" bestFit="1" customWidth="1"/>
    <col min="31" max="31" width="14.33203125" bestFit="1" customWidth="1"/>
    <col min="32" max="32" width="12.5546875" bestFit="1" customWidth="1"/>
    <col min="33" max="33" width="18.6640625" bestFit="1" customWidth="1"/>
    <col min="34" max="34" width="16.88671875" bestFit="1" customWidth="1"/>
    <col min="35" max="35" width="14.33203125" bestFit="1" customWidth="1"/>
    <col min="36" max="36" width="12.5546875" bestFit="1" customWidth="1"/>
    <col min="37" max="37" width="14.33203125" bestFit="1" customWidth="1"/>
    <col min="38" max="38" width="12.5546875" bestFit="1" customWidth="1"/>
    <col min="39" max="39" width="14.33203125" bestFit="1" customWidth="1"/>
    <col min="40" max="40" width="12.5546875" bestFit="1" customWidth="1"/>
    <col min="41" max="41" width="14.33203125" bestFit="1" customWidth="1"/>
    <col min="42" max="42" width="12.5546875" bestFit="1" customWidth="1"/>
    <col min="43" max="43" width="14.33203125" bestFit="1" customWidth="1"/>
    <col min="44" max="44" width="12.5546875" bestFit="1" customWidth="1"/>
    <col min="45" max="45" width="14.33203125" bestFit="1" customWidth="1"/>
    <col min="46" max="46" width="12.5546875" bestFit="1" customWidth="1"/>
    <col min="47" max="47" width="18.33203125" bestFit="1" customWidth="1"/>
    <col min="48" max="48" width="16.5546875" bestFit="1" customWidth="1"/>
    <col min="49" max="49" width="19.109375" bestFit="1" customWidth="1"/>
    <col min="50" max="50" width="17.44140625" bestFit="1" customWidth="1"/>
    <col min="51" max="57" width="6.77734375" bestFit="1" customWidth="1"/>
    <col min="58" max="58" width="5.77734375" bestFit="1" customWidth="1"/>
    <col min="59" max="68" width="6.77734375" bestFit="1" customWidth="1"/>
    <col min="69" max="69" width="5.77734375" bestFit="1" customWidth="1"/>
    <col min="70" max="79" width="6.77734375" bestFit="1" customWidth="1"/>
    <col min="80" max="80" width="5.77734375" bestFit="1" customWidth="1"/>
    <col min="81" max="90" width="6.77734375" bestFit="1" customWidth="1"/>
    <col min="91" max="91" width="5.77734375" bestFit="1" customWidth="1"/>
    <col min="92" max="101" width="6.77734375" bestFit="1" customWidth="1"/>
    <col min="102" max="111" width="11.33203125" bestFit="1" customWidth="1"/>
    <col min="112" max="112" width="10.77734375" bestFit="1" customWidth="1"/>
  </cols>
  <sheetData>
    <row r="3" spans="1:13" ht="14.4" x14ac:dyDescent="0.3">
      <c r="A3" s="25" t="s">
        <v>362</v>
      </c>
      <c r="B3" t="s">
        <v>364</v>
      </c>
      <c r="C3" t="s">
        <v>365</v>
      </c>
      <c r="F3" s="25" t="s">
        <v>364</v>
      </c>
      <c r="G3" s="25" t="s">
        <v>366</v>
      </c>
    </row>
    <row r="4" spans="1:13" ht="14.4" x14ac:dyDescent="0.3">
      <c r="A4" s="26" t="s">
        <v>44</v>
      </c>
      <c r="B4">
        <v>29</v>
      </c>
      <c r="C4" s="17">
        <v>1655751</v>
      </c>
      <c r="F4" s="25" t="s">
        <v>362</v>
      </c>
      <c r="G4" t="s">
        <v>35</v>
      </c>
      <c r="H4" t="s">
        <v>29</v>
      </c>
      <c r="I4" t="s">
        <v>52</v>
      </c>
      <c r="J4" t="s">
        <v>19</v>
      </c>
      <c r="K4" t="s">
        <v>39</v>
      </c>
      <c r="L4" t="s">
        <v>46</v>
      </c>
      <c r="M4" t="s">
        <v>363</v>
      </c>
    </row>
    <row r="5" spans="1:13" ht="14.4" x14ac:dyDescent="0.3">
      <c r="A5" s="26" t="s">
        <v>16</v>
      </c>
      <c r="B5">
        <v>11</v>
      </c>
      <c r="C5" s="17">
        <v>632732</v>
      </c>
      <c r="F5" s="26" t="s">
        <v>44</v>
      </c>
      <c r="L5">
        <v>29</v>
      </c>
      <c r="M5">
        <v>29</v>
      </c>
    </row>
    <row r="6" spans="1:13" ht="14.4" x14ac:dyDescent="0.3">
      <c r="A6" s="26" t="s">
        <v>50</v>
      </c>
      <c r="B6">
        <v>17</v>
      </c>
      <c r="C6" s="17">
        <v>982078</v>
      </c>
      <c r="F6" s="26" t="s">
        <v>16</v>
      </c>
      <c r="J6">
        <v>11</v>
      </c>
      <c r="M6">
        <v>11</v>
      </c>
    </row>
    <row r="7" spans="1:13" ht="14.4" x14ac:dyDescent="0.3">
      <c r="A7" s="26" t="s">
        <v>33</v>
      </c>
      <c r="B7">
        <v>17</v>
      </c>
      <c r="C7" s="17">
        <v>990334</v>
      </c>
      <c r="F7" s="26" t="s">
        <v>50</v>
      </c>
      <c r="I7">
        <v>17</v>
      </c>
      <c r="M7">
        <v>17</v>
      </c>
    </row>
    <row r="8" spans="1:13" ht="14.4" x14ac:dyDescent="0.3">
      <c r="A8" s="26" t="s">
        <v>39</v>
      </c>
      <c r="B8">
        <v>20</v>
      </c>
      <c r="C8" s="17">
        <v>1160539</v>
      </c>
      <c r="F8" s="26" t="s">
        <v>33</v>
      </c>
      <c r="G8">
        <v>17</v>
      </c>
      <c r="M8">
        <v>17</v>
      </c>
    </row>
    <row r="9" spans="1:13" ht="14.4" x14ac:dyDescent="0.3">
      <c r="A9" s="26" t="s">
        <v>27</v>
      </c>
      <c r="B9">
        <v>16</v>
      </c>
      <c r="C9" s="17">
        <v>962973</v>
      </c>
      <c r="F9" s="26" t="s">
        <v>39</v>
      </c>
      <c r="K9">
        <v>20</v>
      </c>
      <c r="M9">
        <v>20</v>
      </c>
    </row>
    <row r="10" spans="1:13" ht="14.4" x14ac:dyDescent="0.3">
      <c r="A10" s="26" t="s">
        <v>363</v>
      </c>
      <c r="B10">
        <v>110</v>
      </c>
      <c r="C10" s="17">
        <v>6384407</v>
      </c>
      <c r="F10" s="26" t="s">
        <v>27</v>
      </c>
      <c r="H10">
        <v>16</v>
      </c>
      <c r="M10">
        <v>16</v>
      </c>
    </row>
    <row r="11" spans="1:13" ht="18" customHeight="1" x14ac:dyDescent="0.3">
      <c r="F11" s="26" t="s">
        <v>363</v>
      </c>
      <c r="G11">
        <v>17</v>
      </c>
      <c r="H11">
        <v>16</v>
      </c>
      <c r="I11">
        <v>17</v>
      </c>
      <c r="J11">
        <v>11</v>
      </c>
      <c r="K11">
        <v>20</v>
      </c>
      <c r="L11">
        <v>29</v>
      </c>
      <c r="M11">
        <v>110</v>
      </c>
    </row>
    <row r="16" spans="1:13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BE0E-023C-4178-B84C-7418EEE7912D}">
  <dimension ref="A3:B9"/>
  <sheetViews>
    <sheetView topLeftCell="A13" zoomScale="75" zoomScaleNormal="100" workbookViewId="0">
      <selection activeCell="AA3" sqref="AA3"/>
    </sheetView>
  </sheetViews>
  <sheetFormatPr defaultRowHeight="14.4" x14ac:dyDescent="0.3"/>
  <cols>
    <col min="1" max="1" width="11.5546875" bestFit="1" customWidth="1"/>
    <col min="2" max="2" width="15.21875" bestFit="1" customWidth="1"/>
  </cols>
  <sheetData>
    <row r="3" spans="1:2" x14ac:dyDescent="0.3">
      <c r="A3" s="25" t="s">
        <v>12</v>
      </c>
      <c r="B3" t="s">
        <v>367</v>
      </c>
    </row>
    <row r="4" spans="1:2" x14ac:dyDescent="0.3">
      <c r="A4" t="s">
        <v>35</v>
      </c>
      <c r="B4">
        <v>2.5600000000000005</v>
      </c>
    </row>
    <row r="5" spans="1:2" x14ac:dyDescent="0.3">
      <c r="A5" t="s">
        <v>29</v>
      </c>
      <c r="B5">
        <v>2.23</v>
      </c>
    </row>
    <row r="6" spans="1:2" x14ac:dyDescent="0.3">
      <c r="A6" t="s">
        <v>52</v>
      </c>
      <c r="B6">
        <v>2.6799999999999997</v>
      </c>
    </row>
    <row r="7" spans="1:2" x14ac:dyDescent="0.3">
      <c r="A7" t="s">
        <v>19</v>
      </c>
      <c r="B7">
        <v>1.8699999999999999</v>
      </c>
    </row>
    <row r="8" spans="1:2" x14ac:dyDescent="0.3">
      <c r="A8" t="s">
        <v>39</v>
      </c>
      <c r="B8">
        <v>3.16</v>
      </c>
    </row>
    <row r="9" spans="1:2" x14ac:dyDescent="0.3">
      <c r="A9" t="s">
        <v>46</v>
      </c>
      <c r="B9">
        <v>3.5900000000000003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18F2-CC1C-4588-BEF0-3BFC958442D8}">
  <dimension ref="A1:R111"/>
  <sheetViews>
    <sheetView tabSelected="1" zoomScale="86" workbookViewId="0">
      <pane ySplit="1" topLeftCell="A2" activePane="bottomLeft" state="frozen"/>
      <selection pane="bottomLeft" activeCell="U15" sqref="U15"/>
    </sheetView>
  </sheetViews>
  <sheetFormatPr defaultRowHeight="14.4" x14ac:dyDescent="0.3"/>
  <cols>
    <col min="1" max="1" width="8.109375" style="11" customWidth="1"/>
    <col min="2" max="2" width="12.33203125" style="11" bestFit="1" customWidth="1"/>
    <col min="3" max="3" width="20.21875" style="11" customWidth="1"/>
    <col min="4" max="4" width="27.6640625" style="11" bestFit="1" customWidth="1"/>
    <col min="5" max="5" width="23.77734375" style="11" customWidth="1"/>
    <col min="6" max="6" width="15.6640625" style="11" customWidth="1"/>
    <col min="7" max="7" width="15.21875" style="11" customWidth="1"/>
    <col min="8" max="8" width="15.6640625" style="16" customWidth="1"/>
    <col min="9" max="9" width="15.21875" style="11" customWidth="1"/>
    <col min="10" max="10" width="23.6640625" style="16" customWidth="1"/>
    <col min="11" max="11" width="24.6640625" style="11" customWidth="1"/>
    <col min="12" max="12" width="26.33203125" style="11" customWidth="1"/>
    <col min="13" max="13" width="20.21875" style="11" customWidth="1"/>
    <col min="14" max="16" width="8.88671875" style="11"/>
    <col min="17" max="17" width="55.109375" style="11" customWidth="1"/>
    <col min="18" max="18" width="39.44140625" style="11" customWidth="1"/>
    <col min="19" max="16384" width="8.88671875" style="11"/>
  </cols>
  <sheetData>
    <row r="1" spans="1:18" s="3" customFormat="1" ht="17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3" t="s">
        <v>5</v>
      </c>
      <c r="G1" s="13" t="s">
        <v>6</v>
      </c>
      <c r="H1" s="14" t="s">
        <v>7</v>
      </c>
      <c r="I1" s="3" t="s">
        <v>8</v>
      </c>
      <c r="J1" s="14" t="s">
        <v>9</v>
      </c>
      <c r="K1" s="3" t="s">
        <v>10</v>
      </c>
      <c r="L1" s="3" t="s">
        <v>11</v>
      </c>
      <c r="M1" s="3" t="s">
        <v>12</v>
      </c>
    </row>
    <row r="2" spans="1:18" ht="19.95" customHeight="1" x14ac:dyDescent="0.3">
      <c r="A2" s="5">
        <v>1</v>
      </c>
      <c r="B2" s="5" t="s">
        <v>348</v>
      </c>
      <c r="C2" s="5" t="s">
        <v>62</v>
      </c>
      <c r="D2" s="5" t="s">
        <v>39</v>
      </c>
      <c r="E2" s="5" t="s">
        <v>27</v>
      </c>
      <c r="F2" s="12">
        <v>44844</v>
      </c>
      <c r="G2" s="12">
        <v>44895</v>
      </c>
      <c r="H2" s="15">
        <v>86422</v>
      </c>
      <c r="I2" s="5">
        <v>0.06</v>
      </c>
      <c r="J2" s="15">
        <v>91607.32</v>
      </c>
      <c r="K2" s="5" t="s">
        <v>40</v>
      </c>
      <c r="L2" s="5" t="s">
        <v>28</v>
      </c>
      <c r="M2" s="5" t="s">
        <v>29</v>
      </c>
    </row>
    <row r="3" spans="1:18" ht="19.95" customHeight="1" x14ac:dyDescent="0.3">
      <c r="A3" s="5">
        <v>5</v>
      </c>
      <c r="B3" s="5" t="s">
        <v>63</v>
      </c>
      <c r="C3" s="5" t="s">
        <v>64</v>
      </c>
      <c r="D3" s="5" t="s">
        <v>65</v>
      </c>
      <c r="E3" s="5" t="s">
        <v>16</v>
      </c>
      <c r="F3" s="12">
        <v>45077</v>
      </c>
      <c r="G3" s="12">
        <v>45101</v>
      </c>
      <c r="H3" s="15">
        <v>84343</v>
      </c>
      <c r="I3" s="5">
        <v>0.22</v>
      </c>
      <c r="J3" s="15">
        <v>102898.46</v>
      </c>
      <c r="K3" s="5" t="s">
        <v>40</v>
      </c>
      <c r="L3" s="5" t="s">
        <v>18</v>
      </c>
      <c r="M3" s="5" t="s">
        <v>19</v>
      </c>
    </row>
    <row r="4" spans="1:18" ht="19.95" customHeight="1" x14ac:dyDescent="0.3">
      <c r="A4" s="5">
        <v>2</v>
      </c>
      <c r="B4" s="5" t="s">
        <v>66</v>
      </c>
      <c r="C4" s="5" t="s">
        <v>67</v>
      </c>
      <c r="D4" s="5" t="s">
        <v>68</v>
      </c>
      <c r="E4" s="5" t="s">
        <v>44</v>
      </c>
      <c r="F4" s="12">
        <v>45182</v>
      </c>
      <c r="G4" s="12">
        <v>45224</v>
      </c>
      <c r="H4" s="15">
        <v>45795</v>
      </c>
      <c r="I4" s="5">
        <v>0.12</v>
      </c>
      <c r="J4" s="15">
        <v>51290.400000000001</v>
      </c>
      <c r="K4" s="5" t="s">
        <v>17</v>
      </c>
      <c r="L4" s="5" t="s">
        <v>45</v>
      </c>
      <c r="M4" s="5" t="s">
        <v>46</v>
      </c>
    </row>
    <row r="5" spans="1:18" ht="19.95" customHeight="1" x14ac:dyDescent="0.3">
      <c r="A5" s="5">
        <v>3</v>
      </c>
      <c r="B5" s="5" t="s">
        <v>69</v>
      </c>
      <c r="C5" s="5" t="s">
        <v>70</v>
      </c>
      <c r="D5" s="5" t="s">
        <v>71</v>
      </c>
      <c r="E5" s="5" t="s">
        <v>39</v>
      </c>
      <c r="F5" s="12">
        <v>44784</v>
      </c>
      <c r="G5" s="12">
        <v>44806</v>
      </c>
      <c r="H5" s="15">
        <v>30860</v>
      </c>
      <c r="I5" s="5">
        <v>0.13</v>
      </c>
      <c r="J5" s="15">
        <v>34871.800000000003</v>
      </c>
      <c r="K5" s="5" t="s">
        <v>17</v>
      </c>
      <c r="L5" s="5" t="s">
        <v>39</v>
      </c>
      <c r="M5" s="5" t="s">
        <v>39</v>
      </c>
    </row>
    <row r="6" spans="1:18" ht="19.95" customHeight="1" x14ac:dyDescent="0.3">
      <c r="A6" s="5">
        <v>6</v>
      </c>
      <c r="B6" s="5" t="s">
        <v>72</v>
      </c>
      <c r="C6" s="5" t="s">
        <v>73</v>
      </c>
      <c r="D6" s="5" t="s">
        <v>74</v>
      </c>
      <c r="E6" s="5" t="s">
        <v>39</v>
      </c>
      <c r="F6" s="12">
        <v>44722</v>
      </c>
      <c r="G6" s="12">
        <v>44778</v>
      </c>
      <c r="H6" s="15">
        <v>74732</v>
      </c>
      <c r="I6" s="5">
        <v>0.12</v>
      </c>
      <c r="J6" s="15">
        <v>83699.839999999997</v>
      </c>
      <c r="K6" s="5" t="s">
        <v>40</v>
      </c>
      <c r="L6" s="5" t="s">
        <v>39</v>
      </c>
      <c r="M6" s="5" t="s">
        <v>39</v>
      </c>
    </row>
    <row r="7" spans="1:18" ht="19.95" customHeight="1" x14ac:dyDescent="0.3">
      <c r="A7" s="5">
        <v>4</v>
      </c>
      <c r="B7" s="5" t="s">
        <v>75</v>
      </c>
      <c r="C7" s="5" t="s">
        <v>76</v>
      </c>
      <c r="D7" s="5" t="s">
        <v>77</v>
      </c>
      <c r="E7" s="5" t="s">
        <v>50</v>
      </c>
      <c r="F7" s="12">
        <v>44723</v>
      </c>
      <c r="G7" s="12">
        <v>44777</v>
      </c>
      <c r="H7" s="15">
        <v>68158</v>
      </c>
      <c r="I7" s="5">
        <v>0.1</v>
      </c>
      <c r="J7" s="15">
        <v>74973.8</v>
      </c>
      <c r="K7" s="5" t="s">
        <v>23</v>
      </c>
      <c r="L7" s="5" t="s">
        <v>51</v>
      </c>
      <c r="M7" s="5" t="s">
        <v>52</v>
      </c>
      <c r="Q7" s="22" t="s">
        <v>355</v>
      </c>
      <c r="R7" s="10"/>
    </row>
    <row r="8" spans="1:18" ht="19.95" customHeight="1" x14ac:dyDescent="0.3">
      <c r="A8" s="5">
        <v>7</v>
      </c>
      <c r="B8" s="5" t="s">
        <v>78</v>
      </c>
      <c r="C8" s="5" t="s">
        <v>79</v>
      </c>
      <c r="D8" s="5" t="s">
        <v>80</v>
      </c>
      <c r="E8" s="5" t="s">
        <v>44</v>
      </c>
      <c r="F8" s="12">
        <v>44940</v>
      </c>
      <c r="G8" s="12">
        <v>44962</v>
      </c>
      <c r="H8" s="15">
        <v>41284</v>
      </c>
      <c r="I8" s="5">
        <v>0.11</v>
      </c>
      <c r="J8" s="15">
        <v>45825.24</v>
      </c>
      <c r="K8" s="5" t="s">
        <v>17</v>
      </c>
      <c r="L8" s="5" t="s">
        <v>45</v>
      </c>
      <c r="M8" s="5" t="s">
        <v>46</v>
      </c>
      <c r="Q8" s="5">
        <f>COUNTIF(E:E, "N/A")</f>
        <v>20</v>
      </c>
      <c r="R8" s="10"/>
    </row>
    <row r="9" spans="1:18" ht="19.95" customHeight="1" x14ac:dyDescent="0.3">
      <c r="A9" s="5">
        <v>8</v>
      </c>
      <c r="B9" s="5" t="s">
        <v>81</v>
      </c>
      <c r="C9" s="5" t="s">
        <v>82</v>
      </c>
      <c r="D9" s="5" t="s">
        <v>83</v>
      </c>
      <c r="E9" s="5" t="s">
        <v>16</v>
      </c>
      <c r="F9" s="12">
        <v>44710</v>
      </c>
      <c r="G9" s="12">
        <v>44753</v>
      </c>
      <c r="H9" s="15">
        <v>84886</v>
      </c>
      <c r="I9" s="5">
        <v>0.16</v>
      </c>
      <c r="J9" s="15">
        <v>98467.76</v>
      </c>
      <c r="K9" s="5" t="s">
        <v>40</v>
      </c>
      <c r="L9" s="5" t="s">
        <v>18</v>
      </c>
      <c r="M9" s="5" t="s">
        <v>19</v>
      </c>
      <c r="Q9" s="10"/>
      <c r="R9" s="10"/>
    </row>
    <row r="10" spans="1:18" ht="19.95" customHeight="1" x14ac:dyDescent="0.3">
      <c r="A10" s="5">
        <v>9</v>
      </c>
      <c r="B10" s="5" t="s">
        <v>84</v>
      </c>
      <c r="C10" s="5" t="s">
        <v>85</v>
      </c>
      <c r="D10" s="5" t="s">
        <v>86</v>
      </c>
      <c r="E10" s="5" t="s">
        <v>44</v>
      </c>
      <c r="F10" s="12">
        <v>45205</v>
      </c>
      <c r="G10" s="12">
        <v>45217</v>
      </c>
      <c r="H10" s="15">
        <v>36265</v>
      </c>
      <c r="I10" s="5">
        <v>0.08</v>
      </c>
      <c r="J10" s="15">
        <v>39166.199999999997</v>
      </c>
      <c r="K10" s="5" t="s">
        <v>17</v>
      </c>
      <c r="L10" s="5" t="s">
        <v>45</v>
      </c>
      <c r="M10" s="5" t="s">
        <v>46</v>
      </c>
      <c r="Q10" s="22" t="s">
        <v>356</v>
      </c>
      <c r="R10" s="22" t="s">
        <v>358</v>
      </c>
    </row>
    <row r="11" spans="1:18" ht="19.95" customHeight="1" x14ac:dyDescent="0.3">
      <c r="A11" s="5">
        <v>10</v>
      </c>
      <c r="B11" s="5" t="s">
        <v>87</v>
      </c>
      <c r="C11" s="5" t="s">
        <v>88</v>
      </c>
      <c r="D11" s="5" t="s">
        <v>89</v>
      </c>
      <c r="E11" s="5" t="s">
        <v>33</v>
      </c>
      <c r="F11" s="12">
        <v>45057</v>
      </c>
      <c r="G11" s="12">
        <v>45105</v>
      </c>
      <c r="H11" s="15">
        <v>46850</v>
      </c>
      <c r="I11" s="5">
        <v>0.21</v>
      </c>
      <c r="J11" s="15">
        <v>56688.5</v>
      </c>
      <c r="K11" s="5" t="s">
        <v>17</v>
      </c>
      <c r="L11" s="5" t="s">
        <v>34</v>
      </c>
      <c r="M11" s="5" t="s">
        <v>35</v>
      </c>
      <c r="Q11" s="23" t="s">
        <v>357</v>
      </c>
      <c r="R11" s="5">
        <f>COUNTIF(K:K, "Low")</f>
        <v>46</v>
      </c>
    </row>
    <row r="12" spans="1:18" ht="19.95" customHeight="1" x14ac:dyDescent="0.3">
      <c r="A12" s="5">
        <v>11</v>
      </c>
      <c r="B12" s="5" t="s">
        <v>90</v>
      </c>
      <c r="C12" s="5" t="s">
        <v>91</v>
      </c>
      <c r="D12" s="5" t="s">
        <v>92</v>
      </c>
      <c r="E12" s="5" t="s">
        <v>39</v>
      </c>
      <c r="F12" s="12">
        <v>44918</v>
      </c>
      <c r="G12" s="12">
        <v>44938</v>
      </c>
      <c r="H12" s="15">
        <v>67194</v>
      </c>
      <c r="I12" s="5">
        <v>0.06</v>
      </c>
      <c r="J12" s="15">
        <v>71225.64</v>
      </c>
      <c r="K12" s="5" t="s">
        <v>23</v>
      </c>
      <c r="L12" s="5" t="s">
        <v>39</v>
      </c>
      <c r="M12" s="5" t="s">
        <v>39</v>
      </c>
      <c r="Q12" s="23" t="s">
        <v>23</v>
      </c>
      <c r="R12" s="5">
        <f>COUNTIF(K:K, "Average")</f>
        <v>27</v>
      </c>
    </row>
    <row r="13" spans="1:18" ht="19.95" customHeight="1" x14ac:dyDescent="0.3">
      <c r="A13" s="5">
        <v>12</v>
      </c>
      <c r="B13" s="5" t="s">
        <v>93</v>
      </c>
      <c r="C13" s="5" t="s">
        <v>94</v>
      </c>
      <c r="D13" s="5" t="s">
        <v>95</v>
      </c>
      <c r="E13" s="5" t="s">
        <v>27</v>
      </c>
      <c r="F13" s="12">
        <v>44923</v>
      </c>
      <c r="G13" s="12">
        <v>44946</v>
      </c>
      <c r="H13" s="15">
        <v>51962</v>
      </c>
      <c r="I13" s="5">
        <v>0.25</v>
      </c>
      <c r="J13" s="15">
        <v>64952.5</v>
      </c>
      <c r="K13" s="5" t="s">
        <v>23</v>
      </c>
      <c r="L13" s="5" t="s">
        <v>28</v>
      </c>
      <c r="M13" s="5" t="s">
        <v>29</v>
      </c>
      <c r="Q13" s="23" t="s">
        <v>40</v>
      </c>
      <c r="R13" s="5">
        <f>COUNTIF(K:K, "High")</f>
        <v>37</v>
      </c>
    </row>
    <row r="14" spans="1:18" ht="19.95" customHeight="1" x14ac:dyDescent="0.3">
      <c r="A14" s="5">
        <v>13</v>
      </c>
      <c r="B14" s="5" t="s">
        <v>96</v>
      </c>
      <c r="C14" s="5" t="s">
        <v>97</v>
      </c>
      <c r="D14" s="5" t="s">
        <v>98</v>
      </c>
      <c r="E14" s="5" t="s">
        <v>27</v>
      </c>
      <c r="F14" s="12">
        <v>44726</v>
      </c>
      <c r="G14" s="12">
        <v>44767</v>
      </c>
      <c r="H14" s="15">
        <v>77191</v>
      </c>
      <c r="I14" s="5">
        <v>0.2</v>
      </c>
      <c r="J14" s="15">
        <v>92629.2</v>
      </c>
      <c r="K14" s="5" t="s">
        <v>40</v>
      </c>
      <c r="L14" s="5" t="s">
        <v>28</v>
      </c>
      <c r="M14" s="5" t="s">
        <v>29</v>
      </c>
    </row>
    <row r="15" spans="1:18" ht="19.95" customHeight="1" x14ac:dyDescent="0.3">
      <c r="A15" s="5">
        <v>14</v>
      </c>
      <c r="B15" s="5" t="s">
        <v>99</v>
      </c>
      <c r="C15" s="5" t="s">
        <v>100</v>
      </c>
      <c r="D15" s="5" t="s">
        <v>101</v>
      </c>
      <c r="E15" s="5" t="s">
        <v>33</v>
      </c>
      <c r="F15" s="12">
        <v>44662</v>
      </c>
      <c r="G15" s="12">
        <v>44695</v>
      </c>
      <c r="H15" s="15">
        <v>74131</v>
      </c>
      <c r="I15" s="5">
        <v>0.09</v>
      </c>
      <c r="J15" s="15">
        <v>80802.789999999994</v>
      </c>
      <c r="K15" s="5" t="s">
        <v>40</v>
      </c>
      <c r="L15" s="5" t="s">
        <v>34</v>
      </c>
      <c r="M15" s="5" t="s">
        <v>35</v>
      </c>
      <c r="Q15" s="22" t="s">
        <v>359</v>
      </c>
      <c r="R15" s="15">
        <f>AVERAGE(H:H)</f>
        <v>58040.063636363637</v>
      </c>
    </row>
    <row r="16" spans="1:18" ht="19.95" customHeight="1" x14ac:dyDescent="0.3">
      <c r="A16" s="5">
        <v>15</v>
      </c>
      <c r="B16" s="5" t="s">
        <v>102</v>
      </c>
      <c r="C16" s="5" t="s">
        <v>103</v>
      </c>
      <c r="D16" s="5" t="s">
        <v>104</v>
      </c>
      <c r="E16" s="5" t="s">
        <v>44</v>
      </c>
      <c r="F16" s="12">
        <v>44916</v>
      </c>
      <c r="G16" s="12">
        <v>44952</v>
      </c>
      <c r="H16" s="15">
        <v>46023</v>
      </c>
      <c r="I16" s="5">
        <v>0.05</v>
      </c>
      <c r="J16" s="15">
        <v>48324.15</v>
      </c>
      <c r="K16" s="5" t="s">
        <v>17</v>
      </c>
      <c r="L16" s="5" t="s">
        <v>45</v>
      </c>
      <c r="M16" s="5" t="s">
        <v>46</v>
      </c>
      <c r="Q16" s="22" t="s">
        <v>360</v>
      </c>
      <c r="R16" s="15">
        <f>AVERAGE(J:J)</f>
        <v>66507.359727272735</v>
      </c>
    </row>
    <row r="17" spans="1:18" ht="19.95" customHeight="1" x14ac:dyDescent="0.3">
      <c r="A17" s="5">
        <v>16</v>
      </c>
      <c r="B17" s="5" t="s">
        <v>349</v>
      </c>
      <c r="C17" s="5" t="s">
        <v>105</v>
      </c>
      <c r="D17" s="5" t="s">
        <v>39</v>
      </c>
      <c r="E17" s="5" t="s">
        <v>16</v>
      </c>
      <c r="F17" s="12">
        <v>45138</v>
      </c>
      <c r="G17" s="12">
        <v>45181</v>
      </c>
      <c r="H17" s="15">
        <v>71090</v>
      </c>
      <c r="I17" s="5">
        <v>0.21</v>
      </c>
      <c r="J17" s="15">
        <v>86018.9</v>
      </c>
      <c r="K17" s="5" t="s">
        <v>40</v>
      </c>
      <c r="L17" s="5" t="s">
        <v>18</v>
      </c>
      <c r="M17" s="5" t="s">
        <v>19</v>
      </c>
      <c r="Q17" s="22" t="s">
        <v>361</v>
      </c>
      <c r="R17" s="24">
        <f>AVERAGE(I:I)</f>
        <v>0.14627272727272733</v>
      </c>
    </row>
    <row r="18" spans="1:18" ht="19.95" customHeight="1" x14ac:dyDescent="0.3">
      <c r="A18" s="5">
        <v>17</v>
      </c>
      <c r="B18" s="5" t="s">
        <v>106</v>
      </c>
      <c r="C18" s="5" t="s">
        <v>107</v>
      </c>
      <c r="D18" s="5" t="s">
        <v>108</v>
      </c>
      <c r="E18" s="5" t="s">
        <v>39</v>
      </c>
      <c r="F18" s="12">
        <v>45067</v>
      </c>
      <c r="G18" s="12">
        <v>45096</v>
      </c>
      <c r="H18" s="15">
        <v>31685</v>
      </c>
      <c r="I18" s="5">
        <v>0.19</v>
      </c>
      <c r="J18" s="15">
        <v>37705.15</v>
      </c>
      <c r="K18" s="5" t="s">
        <v>17</v>
      </c>
      <c r="L18" s="5" t="s">
        <v>39</v>
      </c>
      <c r="M18" s="5" t="s">
        <v>39</v>
      </c>
    </row>
    <row r="19" spans="1:18" ht="19.95" customHeight="1" x14ac:dyDescent="0.3">
      <c r="A19" s="5">
        <v>18</v>
      </c>
      <c r="B19" s="5" t="s">
        <v>109</v>
      </c>
      <c r="C19" s="5" t="s">
        <v>110</v>
      </c>
      <c r="D19" s="5" t="s">
        <v>111</v>
      </c>
      <c r="E19" s="5" t="s">
        <v>33</v>
      </c>
      <c r="F19" s="12">
        <v>45216</v>
      </c>
      <c r="G19" s="12">
        <v>45252</v>
      </c>
      <c r="H19" s="15">
        <v>30769</v>
      </c>
      <c r="I19" s="5">
        <v>0.2</v>
      </c>
      <c r="J19" s="15">
        <v>36922.800000000003</v>
      </c>
      <c r="K19" s="5" t="s">
        <v>17</v>
      </c>
      <c r="L19" s="5" t="s">
        <v>34</v>
      </c>
      <c r="M19" s="5" t="s">
        <v>35</v>
      </c>
    </row>
    <row r="20" spans="1:18" ht="19.95" customHeight="1" x14ac:dyDescent="0.3">
      <c r="A20" s="5">
        <v>19</v>
      </c>
      <c r="B20" s="5" t="s">
        <v>112</v>
      </c>
      <c r="C20" s="5" t="s">
        <v>113</v>
      </c>
      <c r="D20" s="5" t="s">
        <v>114</v>
      </c>
      <c r="E20" s="5" t="s">
        <v>39</v>
      </c>
      <c r="F20" s="12">
        <v>44770</v>
      </c>
      <c r="G20" s="12">
        <v>44793</v>
      </c>
      <c r="H20" s="15">
        <v>89735</v>
      </c>
      <c r="I20" s="5">
        <v>0.2</v>
      </c>
      <c r="J20" s="15">
        <v>107682</v>
      </c>
      <c r="K20" s="5" t="s">
        <v>40</v>
      </c>
      <c r="L20" s="5" t="s">
        <v>39</v>
      </c>
      <c r="M20" s="5" t="s">
        <v>39</v>
      </c>
    </row>
    <row r="21" spans="1:18" ht="19.95" customHeight="1" x14ac:dyDescent="0.3">
      <c r="A21" s="5">
        <v>20</v>
      </c>
      <c r="B21" s="5" t="s">
        <v>115</v>
      </c>
      <c r="C21" s="5" t="s">
        <v>116</v>
      </c>
      <c r="D21" s="5" t="s">
        <v>117</v>
      </c>
      <c r="E21" s="5" t="s">
        <v>33</v>
      </c>
      <c r="F21" s="12">
        <v>44661</v>
      </c>
      <c r="G21" s="12">
        <v>44717</v>
      </c>
      <c r="H21" s="15">
        <v>86101</v>
      </c>
      <c r="I21" s="5">
        <v>0.06</v>
      </c>
      <c r="J21" s="15">
        <v>91267.06</v>
      </c>
      <c r="K21" s="5" t="s">
        <v>40</v>
      </c>
      <c r="L21" s="5" t="s">
        <v>34</v>
      </c>
      <c r="M21" s="5" t="s">
        <v>35</v>
      </c>
    </row>
    <row r="22" spans="1:18" ht="19.95" customHeight="1" x14ac:dyDescent="0.3">
      <c r="A22" s="5">
        <v>21</v>
      </c>
      <c r="B22" s="5" t="s">
        <v>118</v>
      </c>
      <c r="C22" s="5" t="s">
        <v>119</v>
      </c>
      <c r="D22" s="5" t="s">
        <v>120</v>
      </c>
      <c r="E22" s="5" t="s">
        <v>16</v>
      </c>
      <c r="F22" s="12">
        <v>45339</v>
      </c>
      <c r="G22" s="12">
        <v>45388</v>
      </c>
      <c r="H22" s="15">
        <v>32433</v>
      </c>
      <c r="I22" s="5">
        <v>0.12</v>
      </c>
      <c r="J22" s="15">
        <v>36324.959999999999</v>
      </c>
      <c r="K22" s="5" t="s">
        <v>17</v>
      </c>
      <c r="L22" s="5" t="s">
        <v>18</v>
      </c>
      <c r="M22" s="5" t="s">
        <v>19</v>
      </c>
    </row>
    <row r="23" spans="1:18" ht="19.95" customHeight="1" x14ac:dyDescent="0.3">
      <c r="A23" s="5">
        <v>22</v>
      </c>
      <c r="B23" s="5" t="s">
        <v>121</v>
      </c>
      <c r="C23" s="5" t="s">
        <v>122</v>
      </c>
      <c r="D23" s="5" t="s">
        <v>123</v>
      </c>
      <c r="E23" s="5" t="s">
        <v>44</v>
      </c>
      <c r="F23" s="12">
        <v>44836</v>
      </c>
      <c r="G23" s="12">
        <v>44864</v>
      </c>
      <c r="H23" s="15">
        <v>35311</v>
      </c>
      <c r="I23" s="5">
        <v>7.0000000000000007E-2</v>
      </c>
      <c r="J23" s="15">
        <v>37782.769999999997</v>
      </c>
      <c r="K23" s="5" t="s">
        <v>17</v>
      </c>
      <c r="L23" s="5" t="s">
        <v>45</v>
      </c>
      <c r="M23" s="5" t="s">
        <v>46</v>
      </c>
    </row>
    <row r="24" spans="1:18" ht="19.95" customHeight="1" x14ac:dyDescent="0.3">
      <c r="A24" s="5">
        <v>23</v>
      </c>
      <c r="B24" s="5" t="s">
        <v>124</v>
      </c>
      <c r="C24" s="5" t="s">
        <v>125</v>
      </c>
      <c r="D24" s="5" t="s">
        <v>126</v>
      </c>
      <c r="E24" s="5" t="s">
        <v>44</v>
      </c>
      <c r="F24" s="12">
        <v>45213</v>
      </c>
      <c r="G24" s="12">
        <v>45228</v>
      </c>
      <c r="H24" s="15">
        <v>67819</v>
      </c>
      <c r="I24" s="5">
        <v>0.22</v>
      </c>
      <c r="J24" s="15">
        <v>82739.179999999993</v>
      </c>
      <c r="K24" s="5" t="s">
        <v>23</v>
      </c>
      <c r="L24" s="5" t="s">
        <v>45</v>
      </c>
      <c r="M24" s="5" t="s">
        <v>46</v>
      </c>
    </row>
    <row r="25" spans="1:18" ht="19.95" customHeight="1" x14ac:dyDescent="0.3">
      <c r="A25" s="5">
        <v>24</v>
      </c>
      <c r="B25" s="5" t="s">
        <v>127</v>
      </c>
      <c r="C25" s="5" t="s">
        <v>128</v>
      </c>
      <c r="D25" s="5" t="s">
        <v>129</v>
      </c>
      <c r="E25" s="5" t="s">
        <v>39</v>
      </c>
      <c r="F25" s="12">
        <v>45164</v>
      </c>
      <c r="G25" s="12">
        <v>45182</v>
      </c>
      <c r="H25" s="15">
        <v>69188</v>
      </c>
      <c r="I25" s="5">
        <v>0.17</v>
      </c>
      <c r="J25" s="15">
        <v>80949.960000000006</v>
      </c>
      <c r="K25" s="5" t="s">
        <v>23</v>
      </c>
      <c r="L25" s="5" t="s">
        <v>39</v>
      </c>
      <c r="M25" s="5" t="s">
        <v>39</v>
      </c>
    </row>
    <row r="26" spans="1:18" ht="19.95" customHeight="1" x14ac:dyDescent="0.3">
      <c r="A26" s="5">
        <v>25</v>
      </c>
      <c r="B26" s="5" t="s">
        <v>130</v>
      </c>
      <c r="C26" s="5" t="s">
        <v>131</v>
      </c>
      <c r="D26" s="5" t="s">
        <v>132</v>
      </c>
      <c r="E26" s="5" t="s">
        <v>44</v>
      </c>
      <c r="F26" s="12">
        <v>44687</v>
      </c>
      <c r="G26" s="12">
        <v>44733</v>
      </c>
      <c r="H26" s="15">
        <v>47568</v>
      </c>
      <c r="I26" s="5">
        <v>0.12</v>
      </c>
      <c r="J26" s="15">
        <v>53276.160000000003</v>
      </c>
      <c r="K26" s="5" t="s">
        <v>17</v>
      </c>
      <c r="L26" s="5" t="s">
        <v>45</v>
      </c>
      <c r="M26" s="5" t="s">
        <v>46</v>
      </c>
    </row>
    <row r="27" spans="1:18" ht="19.95" customHeight="1" x14ac:dyDescent="0.3">
      <c r="A27" s="5">
        <v>26</v>
      </c>
      <c r="B27" s="5" t="s">
        <v>133</v>
      </c>
      <c r="C27" s="5" t="s">
        <v>134</v>
      </c>
      <c r="D27" s="5" t="s">
        <v>135</v>
      </c>
      <c r="E27" s="5" t="s">
        <v>50</v>
      </c>
      <c r="F27" s="12">
        <v>44656</v>
      </c>
      <c r="G27" s="12">
        <v>44668</v>
      </c>
      <c r="H27" s="15">
        <v>83707</v>
      </c>
      <c r="I27" s="5">
        <v>0.06</v>
      </c>
      <c r="J27" s="15">
        <v>88729.42</v>
      </c>
      <c r="K27" s="5" t="s">
        <v>40</v>
      </c>
      <c r="L27" s="5" t="s">
        <v>51</v>
      </c>
      <c r="M27" s="5" t="s">
        <v>52</v>
      </c>
    </row>
    <row r="28" spans="1:18" ht="19.95" customHeight="1" x14ac:dyDescent="0.3">
      <c r="A28" s="5">
        <v>27</v>
      </c>
      <c r="B28" s="5" t="s">
        <v>136</v>
      </c>
      <c r="C28" s="5" t="s">
        <v>137</v>
      </c>
      <c r="D28" s="5" t="s">
        <v>138</v>
      </c>
      <c r="E28" s="5" t="s">
        <v>33</v>
      </c>
      <c r="F28" s="12">
        <v>45239</v>
      </c>
      <c r="G28" s="12">
        <v>45299</v>
      </c>
      <c r="H28" s="15">
        <v>49769</v>
      </c>
      <c r="I28" s="5">
        <v>0.11</v>
      </c>
      <c r="J28" s="15">
        <v>55243.59</v>
      </c>
      <c r="K28" s="5" t="s">
        <v>17</v>
      </c>
      <c r="L28" s="5" t="s">
        <v>34</v>
      </c>
      <c r="M28" s="5" t="s">
        <v>35</v>
      </c>
    </row>
    <row r="29" spans="1:18" ht="19.95" customHeight="1" x14ac:dyDescent="0.3">
      <c r="A29" s="5">
        <v>28</v>
      </c>
      <c r="B29" s="5" t="s">
        <v>139</v>
      </c>
      <c r="C29" s="5" t="s">
        <v>140</v>
      </c>
      <c r="D29" s="5" t="s">
        <v>141</v>
      </c>
      <c r="E29" s="5" t="s">
        <v>44</v>
      </c>
      <c r="F29" s="12">
        <v>45100</v>
      </c>
      <c r="G29" s="12">
        <v>45157</v>
      </c>
      <c r="H29" s="15">
        <v>58693</v>
      </c>
      <c r="I29" s="5">
        <v>0.12</v>
      </c>
      <c r="J29" s="15">
        <v>65736.160000000003</v>
      </c>
      <c r="K29" s="5" t="s">
        <v>23</v>
      </c>
      <c r="L29" s="5" t="s">
        <v>45</v>
      </c>
      <c r="M29" s="5" t="s">
        <v>46</v>
      </c>
    </row>
    <row r="30" spans="1:18" ht="19.95" customHeight="1" x14ac:dyDescent="0.3">
      <c r="A30" s="5">
        <v>29</v>
      </c>
      <c r="B30" s="5" t="s">
        <v>142</v>
      </c>
      <c r="C30" s="5" t="s">
        <v>143</v>
      </c>
      <c r="D30" s="5" t="s">
        <v>144</v>
      </c>
      <c r="E30" s="5" t="s">
        <v>39</v>
      </c>
      <c r="F30" s="12">
        <v>45076</v>
      </c>
      <c r="G30" s="12">
        <v>45126</v>
      </c>
      <c r="H30" s="15">
        <v>36396</v>
      </c>
      <c r="I30" s="5">
        <v>0.2</v>
      </c>
      <c r="J30" s="15">
        <v>43675.199999999997</v>
      </c>
      <c r="K30" s="5" t="s">
        <v>17</v>
      </c>
      <c r="L30" s="5" t="s">
        <v>39</v>
      </c>
      <c r="M30" s="5" t="s">
        <v>39</v>
      </c>
    </row>
    <row r="31" spans="1:18" ht="19.95" customHeight="1" x14ac:dyDescent="0.3">
      <c r="A31" s="5">
        <v>30</v>
      </c>
      <c r="B31" s="5" t="s">
        <v>145</v>
      </c>
      <c r="C31" s="5" t="s">
        <v>146</v>
      </c>
      <c r="D31" s="5" t="s">
        <v>147</v>
      </c>
      <c r="E31" s="5" t="s">
        <v>27</v>
      </c>
      <c r="F31" s="12">
        <v>44675</v>
      </c>
      <c r="G31" s="12">
        <v>44685</v>
      </c>
      <c r="H31" s="15">
        <v>57480</v>
      </c>
      <c r="I31" s="5">
        <v>0.18</v>
      </c>
      <c r="J31" s="15">
        <v>67826.399999999994</v>
      </c>
      <c r="K31" s="5" t="s">
        <v>23</v>
      </c>
      <c r="L31" s="5" t="s">
        <v>28</v>
      </c>
      <c r="M31" s="5" t="s">
        <v>29</v>
      </c>
    </row>
    <row r="32" spans="1:18" ht="19.95" customHeight="1" x14ac:dyDescent="0.3">
      <c r="A32" s="5">
        <v>31</v>
      </c>
      <c r="B32" s="5" t="s">
        <v>350</v>
      </c>
      <c r="C32" s="5" t="s">
        <v>148</v>
      </c>
      <c r="D32" s="5" t="s">
        <v>39</v>
      </c>
      <c r="E32" s="5" t="s">
        <v>16</v>
      </c>
      <c r="F32" s="12">
        <v>44808</v>
      </c>
      <c r="G32" s="12">
        <v>44828</v>
      </c>
      <c r="H32" s="15">
        <v>71434</v>
      </c>
      <c r="I32" s="5">
        <v>0.23</v>
      </c>
      <c r="J32" s="15">
        <v>87863.82</v>
      </c>
      <c r="K32" s="5" t="s">
        <v>40</v>
      </c>
      <c r="L32" s="5" t="s">
        <v>18</v>
      </c>
      <c r="M32" s="5" t="s">
        <v>19</v>
      </c>
    </row>
    <row r="33" spans="1:13" ht="19.95" customHeight="1" x14ac:dyDescent="0.3">
      <c r="A33" s="5">
        <v>32</v>
      </c>
      <c r="B33" s="5" t="s">
        <v>149</v>
      </c>
      <c r="C33" s="5" t="s">
        <v>150</v>
      </c>
      <c r="D33" s="5" t="s">
        <v>151</v>
      </c>
      <c r="E33" s="5" t="s">
        <v>33</v>
      </c>
      <c r="F33" s="12">
        <v>45270</v>
      </c>
      <c r="G33" s="12">
        <v>45310</v>
      </c>
      <c r="H33" s="15">
        <v>55658</v>
      </c>
      <c r="I33" s="5">
        <v>0.14000000000000001</v>
      </c>
      <c r="J33" s="15">
        <v>63450.12</v>
      </c>
      <c r="K33" s="5" t="s">
        <v>23</v>
      </c>
      <c r="L33" s="5" t="s">
        <v>34</v>
      </c>
      <c r="M33" s="5" t="s">
        <v>35</v>
      </c>
    </row>
    <row r="34" spans="1:13" ht="19.95" customHeight="1" x14ac:dyDescent="0.3">
      <c r="A34" s="5">
        <v>33</v>
      </c>
      <c r="B34" s="5" t="s">
        <v>152</v>
      </c>
      <c r="C34" s="5" t="s">
        <v>153</v>
      </c>
      <c r="D34" s="5" t="s">
        <v>154</v>
      </c>
      <c r="E34" s="5" t="s">
        <v>16</v>
      </c>
      <c r="F34" s="12">
        <v>44804</v>
      </c>
      <c r="G34" s="12">
        <v>44826</v>
      </c>
      <c r="H34" s="15">
        <v>48942</v>
      </c>
      <c r="I34" s="5">
        <v>7.0000000000000007E-2</v>
      </c>
      <c r="J34" s="15">
        <v>52367.94</v>
      </c>
      <c r="K34" s="5" t="s">
        <v>17</v>
      </c>
      <c r="L34" s="5" t="s">
        <v>18</v>
      </c>
      <c r="M34" s="5" t="s">
        <v>19</v>
      </c>
    </row>
    <row r="35" spans="1:13" ht="19.95" customHeight="1" x14ac:dyDescent="0.3">
      <c r="A35" s="5">
        <v>34</v>
      </c>
      <c r="B35" s="5" t="s">
        <v>155</v>
      </c>
      <c r="C35" s="5" t="s">
        <v>156</v>
      </c>
      <c r="D35" s="5" t="s">
        <v>157</v>
      </c>
      <c r="E35" s="5" t="s">
        <v>50</v>
      </c>
      <c r="F35" s="12">
        <v>45275</v>
      </c>
      <c r="G35" s="12">
        <v>45319</v>
      </c>
      <c r="H35" s="15">
        <v>87001</v>
      </c>
      <c r="I35" s="5">
        <v>0.19</v>
      </c>
      <c r="J35" s="15">
        <v>103531.19</v>
      </c>
      <c r="K35" s="5" t="s">
        <v>40</v>
      </c>
      <c r="L35" s="5" t="s">
        <v>51</v>
      </c>
      <c r="M35" s="5" t="s">
        <v>52</v>
      </c>
    </row>
    <row r="36" spans="1:13" ht="19.95" customHeight="1" x14ac:dyDescent="0.3">
      <c r="A36" s="5">
        <v>35</v>
      </c>
      <c r="B36" s="5" t="s">
        <v>158</v>
      </c>
      <c r="C36" s="5" t="s">
        <v>159</v>
      </c>
      <c r="D36" s="5" t="s">
        <v>160</v>
      </c>
      <c r="E36" s="5" t="s">
        <v>16</v>
      </c>
      <c r="F36" s="12">
        <v>45356</v>
      </c>
      <c r="G36" s="12">
        <v>45406</v>
      </c>
      <c r="H36" s="15">
        <v>48431</v>
      </c>
      <c r="I36" s="5">
        <v>0.2</v>
      </c>
      <c r="J36" s="15">
        <v>58117.2</v>
      </c>
      <c r="K36" s="5" t="s">
        <v>17</v>
      </c>
      <c r="L36" s="5" t="s">
        <v>18</v>
      </c>
      <c r="M36" s="5" t="s">
        <v>19</v>
      </c>
    </row>
    <row r="37" spans="1:13" ht="19.95" customHeight="1" x14ac:dyDescent="0.3">
      <c r="A37" s="5">
        <v>36</v>
      </c>
      <c r="B37" s="5" t="s">
        <v>161</v>
      </c>
      <c r="C37" s="5" t="s">
        <v>162</v>
      </c>
      <c r="D37" s="5" t="s">
        <v>163</v>
      </c>
      <c r="E37" s="5" t="s">
        <v>33</v>
      </c>
      <c r="F37" s="12">
        <v>44700</v>
      </c>
      <c r="G37" s="12">
        <v>44730</v>
      </c>
      <c r="H37" s="15">
        <v>32747</v>
      </c>
      <c r="I37" s="5">
        <v>0.16</v>
      </c>
      <c r="J37" s="15">
        <v>37986.519999999997</v>
      </c>
      <c r="K37" s="5" t="s">
        <v>17</v>
      </c>
      <c r="L37" s="5" t="s">
        <v>34</v>
      </c>
      <c r="M37" s="5" t="s">
        <v>35</v>
      </c>
    </row>
    <row r="38" spans="1:13" ht="19.95" customHeight="1" x14ac:dyDescent="0.3">
      <c r="A38" s="5">
        <v>37</v>
      </c>
      <c r="B38" s="5" t="s">
        <v>164</v>
      </c>
      <c r="C38" s="5" t="s">
        <v>165</v>
      </c>
      <c r="D38" s="5" t="s">
        <v>166</v>
      </c>
      <c r="E38" s="5" t="s">
        <v>50</v>
      </c>
      <c r="F38" s="12">
        <v>44760</v>
      </c>
      <c r="G38" s="12">
        <v>44816</v>
      </c>
      <c r="H38" s="15">
        <v>88319</v>
      </c>
      <c r="I38" s="5">
        <v>0.2</v>
      </c>
      <c r="J38" s="15">
        <v>105982.8</v>
      </c>
      <c r="K38" s="5" t="s">
        <v>40</v>
      </c>
      <c r="L38" s="5" t="s">
        <v>51</v>
      </c>
      <c r="M38" s="5" t="s">
        <v>52</v>
      </c>
    </row>
    <row r="39" spans="1:13" ht="19.95" customHeight="1" x14ac:dyDescent="0.3">
      <c r="A39" s="5">
        <v>38</v>
      </c>
      <c r="B39" s="5" t="s">
        <v>167</v>
      </c>
      <c r="C39" s="5" t="s">
        <v>168</v>
      </c>
      <c r="D39" s="5" t="s">
        <v>169</v>
      </c>
      <c r="E39" s="5" t="s">
        <v>39</v>
      </c>
      <c r="F39" s="12">
        <v>44980</v>
      </c>
      <c r="G39" s="12">
        <v>45010</v>
      </c>
      <c r="H39" s="15">
        <v>89150</v>
      </c>
      <c r="I39" s="5">
        <v>0.15</v>
      </c>
      <c r="J39" s="15">
        <v>102522.5</v>
      </c>
      <c r="K39" s="5" t="s">
        <v>40</v>
      </c>
      <c r="L39" s="5" t="s">
        <v>39</v>
      </c>
      <c r="M39" s="5" t="s">
        <v>39</v>
      </c>
    </row>
    <row r="40" spans="1:13" ht="19.95" customHeight="1" x14ac:dyDescent="0.3">
      <c r="A40" s="5">
        <v>39</v>
      </c>
      <c r="B40" s="5" t="s">
        <v>170</v>
      </c>
      <c r="C40" s="5" t="s">
        <v>171</v>
      </c>
      <c r="D40" s="5" t="s">
        <v>172</v>
      </c>
      <c r="E40" s="5" t="s">
        <v>44</v>
      </c>
      <c r="F40" s="12">
        <v>44812</v>
      </c>
      <c r="G40" s="12">
        <v>44835</v>
      </c>
      <c r="H40" s="15">
        <v>30189</v>
      </c>
      <c r="I40" s="5">
        <v>0.15</v>
      </c>
      <c r="J40" s="15">
        <v>34717.35</v>
      </c>
      <c r="K40" s="5" t="s">
        <v>17</v>
      </c>
      <c r="L40" s="5" t="s">
        <v>45</v>
      </c>
      <c r="M40" s="5" t="s">
        <v>46</v>
      </c>
    </row>
    <row r="41" spans="1:13" ht="19.95" customHeight="1" x14ac:dyDescent="0.3">
      <c r="A41" s="5">
        <v>40</v>
      </c>
      <c r="B41" s="5" t="s">
        <v>173</v>
      </c>
      <c r="C41" s="5" t="s">
        <v>174</v>
      </c>
      <c r="D41" s="5" t="s">
        <v>175</v>
      </c>
      <c r="E41" s="5" t="s">
        <v>33</v>
      </c>
      <c r="F41" s="12">
        <v>44797</v>
      </c>
      <c r="G41" s="12">
        <v>44809</v>
      </c>
      <c r="H41" s="15">
        <v>49118</v>
      </c>
      <c r="I41" s="5">
        <v>0.14000000000000001</v>
      </c>
      <c r="J41" s="15">
        <v>55994.52</v>
      </c>
      <c r="K41" s="5" t="s">
        <v>17</v>
      </c>
      <c r="L41" s="5" t="s">
        <v>34</v>
      </c>
      <c r="M41" s="5" t="s">
        <v>35</v>
      </c>
    </row>
    <row r="42" spans="1:13" ht="19.95" customHeight="1" x14ac:dyDescent="0.3">
      <c r="A42" s="5">
        <v>41</v>
      </c>
      <c r="B42" s="5" t="s">
        <v>176</v>
      </c>
      <c r="C42" s="5" t="s">
        <v>177</v>
      </c>
      <c r="D42" s="5" t="s">
        <v>178</v>
      </c>
      <c r="E42" s="5" t="s">
        <v>27</v>
      </c>
      <c r="F42" s="12">
        <v>44929</v>
      </c>
      <c r="G42" s="12">
        <v>44962</v>
      </c>
      <c r="H42" s="15">
        <v>65773</v>
      </c>
      <c r="I42" s="5">
        <v>0.06</v>
      </c>
      <c r="J42" s="15">
        <v>69719.38</v>
      </c>
      <c r="K42" s="5" t="s">
        <v>23</v>
      </c>
      <c r="L42" s="5" t="s">
        <v>28</v>
      </c>
      <c r="M42" s="5" t="s">
        <v>29</v>
      </c>
    </row>
    <row r="43" spans="1:13" ht="19.95" customHeight="1" x14ac:dyDescent="0.3">
      <c r="A43" s="5">
        <v>42</v>
      </c>
      <c r="B43" s="5" t="s">
        <v>179</v>
      </c>
      <c r="C43" s="5" t="s">
        <v>180</v>
      </c>
      <c r="D43" s="5" t="s">
        <v>181</v>
      </c>
      <c r="E43" s="5" t="s">
        <v>27</v>
      </c>
      <c r="F43" s="12">
        <v>45231</v>
      </c>
      <c r="G43" s="12">
        <v>45262</v>
      </c>
      <c r="H43" s="15">
        <v>83810</v>
      </c>
      <c r="I43" s="5">
        <v>7.0000000000000007E-2</v>
      </c>
      <c r="J43" s="15">
        <v>89676.7</v>
      </c>
      <c r="K43" s="5" t="s">
        <v>40</v>
      </c>
      <c r="L43" s="5" t="s">
        <v>28</v>
      </c>
      <c r="M43" s="5" t="s">
        <v>29</v>
      </c>
    </row>
    <row r="44" spans="1:13" ht="19.95" customHeight="1" x14ac:dyDescent="0.3">
      <c r="A44" s="5">
        <v>43</v>
      </c>
      <c r="B44" s="5" t="s">
        <v>182</v>
      </c>
      <c r="C44" s="5" t="s">
        <v>183</v>
      </c>
      <c r="D44" s="5" t="s">
        <v>184</v>
      </c>
      <c r="E44" s="5" t="s">
        <v>27</v>
      </c>
      <c r="F44" s="12">
        <v>44717</v>
      </c>
      <c r="G44" s="12">
        <v>44752</v>
      </c>
      <c r="H44" s="15">
        <v>31899</v>
      </c>
      <c r="I44" s="5">
        <v>0.06</v>
      </c>
      <c r="J44" s="15">
        <v>33812.94</v>
      </c>
      <c r="K44" s="5" t="s">
        <v>17</v>
      </c>
      <c r="L44" s="5" t="s">
        <v>28</v>
      </c>
      <c r="M44" s="5" t="s">
        <v>29</v>
      </c>
    </row>
    <row r="45" spans="1:13" ht="19.95" customHeight="1" x14ac:dyDescent="0.3">
      <c r="A45" s="5">
        <v>44</v>
      </c>
      <c r="B45" s="5" t="s">
        <v>185</v>
      </c>
      <c r="C45" s="5" t="s">
        <v>186</v>
      </c>
      <c r="D45" s="5" t="s">
        <v>187</v>
      </c>
      <c r="E45" s="5" t="s">
        <v>50</v>
      </c>
      <c r="F45" s="12">
        <v>45221</v>
      </c>
      <c r="G45" s="12">
        <v>45276</v>
      </c>
      <c r="H45" s="15">
        <v>86886</v>
      </c>
      <c r="I45" s="5">
        <v>0.18</v>
      </c>
      <c r="J45" s="15">
        <v>102525.48</v>
      </c>
      <c r="K45" s="5" t="s">
        <v>40</v>
      </c>
      <c r="L45" s="5" t="s">
        <v>51</v>
      </c>
      <c r="M45" s="5" t="s">
        <v>52</v>
      </c>
    </row>
    <row r="46" spans="1:13" ht="19.95" customHeight="1" x14ac:dyDescent="0.3">
      <c r="A46" s="5">
        <v>45</v>
      </c>
      <c r="B46" s="5" t="s">
        <v>188</v>
      </c>
      <c r="C46" s="5" t="s">
        <v>189</v>
      </c>
      <c r="D46" s="5" t="s">
        <v>190</v>
      </c>
      <c r="E46" s="5" t="s">
        <v>44</v>
      </c>
      <c r="F46" s="12">
        <v>44782</v>
      </c>
      <c r="G46" s="12">
        <v>44804</v>
      </c>
      <c r="H46" s="15">
        <v>31267</v>
      </c>
      <c r="I46" s="5">
        <v>0.11</v>
      </c>
      <c r="J46" s="15">
        <v>34706.370000000003</v>
      </c>
      <c r="K46" s="5" t="s">
        <v>17</v>
      </c>
      <c r="L46" s="5" t="s">
        <v>45</v>
      </c>
      <c r="M46" s="5" t="s">
        <v>46</v>
      </c>
    </row>
    <row r="47" spans="1:13" ht="19.95" customHeight="1" x14ac:dyDescent="0.3">
      <c r="A47" s="5">
        <v>46</v>
      </c>
      <c r="B47" s="5" t="s">
        <v>351</v>
      </c>
      <c r="C47" s="5" t="s">
        <v>191</v>
      </c>
      <c r="D47" s="5" t="s">
        <v>39</v>
      </c>
      <c r="E47" s="5" t="s">
        <v>27</v>
      </c>
      <c r="F47" s="12">
        <v>45210</v>
      </c>
      <c r="G47" s="12">
        <v>45252</v>
      </c>
      <c r="H47" s="15">
        <v>61551</v>
      </c>
      <c r="I47" s="5">
        <v>0.15</v>
      </c>
      <c r="J47" s="15">
        <v>70783.649999999994</v>
      </c>
      <c r="K47" s="5" t="s">
        <v>23</v>
      </c>
      <c r="L47" s="5" t="s">
        <v>28</v>
      </c>
      <c r="M47" s="5" t="s">
        <v>29</v>
      </c>
    </row>
    <row r="48" spans="1:13" ht="19.95" customHeight="1" x14ac:dyDescent="0.3">
      <c r="A48" s="5">
        <v>47</v>
      </c>
      <c r="B48" s="5" t="s">
        <v>192</v>
      </c>
      <c r="C48" s="5" t="s">
        <v>193</v>
      </c>
      <c r="D48" s="5" t="s">
        <v>194</v>
      </c>
      <c r="E48" s="5" t="s">
        <v>33</v>
      </c>
      <c r="F48" s="12">
        <v>44582</v>
      </c>
      <c r="G48" s="12">
        <v>44615</v>
      </c>
      <c r="H48" s="15">
        <v>80680</v>
      </c>
      <c r="I48" s="5">
        <v>0.23</v>
      </c>
      <c r="J48" s="15">
        <v>99236.4</v>
      </c>
      <c r="K48" s="5" t="s">
        <v>40</v>
      </c>
      <c r="L48" s="5" t="s">
        <v>34</v>
      </c>
      <c r="M48" s="5" t="s">
        <v>35</v>
      </c>
    </row>
    <row r="49" spans="1:13" ht="19.95" customHeight="1" x14ac:dyDescent="0.3">
      <c r="A49" s="5">
        <v>48</v>
      </c>
      <c r="B49" s="5" t="s">
        <v>195</v>
      </c>
      <c r="C49" s="5" t="s">
        <v>196</v>
      </c>
      <c r="D49" s="5" t="s">
        <v>197</v>
      </c>
      <c r="E49" s="5" t="s">
        <v>39</v>
      </c>
      <c r="F49" s="12">
        <v>44617</v>
      </c>
      <c r="G49" s="12">
        <v>44675</v>
      </c>
      <c r="H49" s="15">
        <v>41394</v>
      </c>
      <c r="I49" s="5">
        <v>0.1</v>
      </c>
      <c r="J49" s="15">
        <v>45533.4</v>
      </c>
      <c r="K49" s="5" t="s">
        <v>17</v>
      </c>
      <c r="L49" s="5" t="s">
        <v>39</v>
      </c>
      <c r="M49" s="5" t="s">
        <v>39</v>
      </c>
    </row>
    <row r="50" spans="1:13" ht="19.95" customHeight="1" x14ac:dyDescent="0.3">
      <c r="A50" s="5">
        <v>49</v>
      </c>
      <c r="B50" s="5" t="s">
        <v>198</v>
      </c>
      <c r="C50" s="5" t="s">
        <v>199</v>
      </c>
      <c r="D50" s="5" t="s">
        <v>200</v>
      </c>
      <c r="E50" s="5" t="s">
        <v>50</v>
      </c>
      <c r="F50" s="12">
        <v>44577</v>
      </c>
      <c r="G50" s="12">
        <v>44620</v>
      </c>
      <c r="H50" s="15">
        <v>33556</v>
      </c>
      <c r="I50" s="5">
        <v>0.13</v>
      </c>
      <c r="J50" s="15">
        <v>37918.28</v>
      </c>
      <c r="K50" s="5" t="s">
        <v>17</v>
      </c>
      <c r="L50" s="5" t="s">
        <v>51</v>
      </c>
      <c r="M50" s="5" t="s">
        <v>52</v>
      </c>
    </row>
    <row r="51" spans="1:13" ht="19.95" customHeight="1" x14ac:dyDescent="0.3">
      <c r="A51" s="5">
        <v>50</v>
      </c>
      <c r="B51" s="5" t="s">
        <v>201</v>
      </c>
      <c r="C51" s="5" t="s">
        <v>202</v>
      </c>
      <c r="D51" s="5" t="s">
        <v>203</v>
      </c>
      <c r="E51" s="5" t="s">
        <v>50</v>
      </c>
      <c r="F51" s="12">
        <v>44629</v>
      </c>
      <c r="G51" s="12">
        <v>44639</v>
      </c>
      <c r="H51" s="15">
        <v>33890</v>
      </c>
      <c r="I51" s="5">
        <v>0.2</v>
      </c>
      <c r="J51" s="15">
        <v>40668</v>
      </c>
      <c r="K51" s="5" t="s">
        <v>17</v>
      </c>
      <c r="L51" s="5" t="s">
        <v>51</v>
      </c>
      <c r="M51" s="5" t="s">
        <v>52</v>
      </c>
    </row>
    <row r="52" spans="1:13" ht="19.95" customHeight="1" x14ac:dyDescent="0.3">
      <c r="A52" s="5">
        <v>51</v>
      </c>
      <c r="B52" s="5" t="s">
        <v>204</v>
      </c>
      <c r="C52" s="5" t="s">
        <v>205</v>
      </c>
      <c r="D52" s="5" t="s">
        <v>206</v>
      </c>
      <c r="E52" s="5" t="s">
        <v>39</v>
      </c>
      <c r="F52" s="12">
        <v>44865</v>
      </c>
      <c r="G52" s="12">
        <v>44907</v>
      </c>
      <c r="H52" s="15">
        <v>71606</v>
      </c>
      <c r="I52" s="5">
        <v>0.1</v>
      </c>
      <c r="J52" s="15">
        <v>78766.600000000006</v>
      </c>
      <c r="K52" s="5" t="s">
        <v>40</v>
      </c>
      <c r="L52" s="5" t="s">
        <v>39</v>
      </c>
      <c r="M52" s="5" t="s">
        <v>39</v>
      </c>
    </row>
    <row r="53" spans="1:13" ht="19.95" customHeight="1" x14ac:dyDescent="0.3">
      <c r="A53" s="5">
        <v>52</v>
      </c>
      <c r="B53" s="5" t="s">
        <v>207</v>
      </c>
      <c r="C53" s="5" t="s">
        <v>208</v>
      </c>
      <c r="D53" s="5" t="s">
        <v>209</v>
      </c>
      <c r="E53" s="5" t="s">
        <v>44</v>
      </c>
      <c r="F53" s="12">
        <v>44846</v>
      </c>
      <c r="G53" s="12">
        <v>44867</v>
      </c>
      <c r="H53" s="15">
        <v>60740</v>
      </c>
      <c r="I53" s="5">
        <v>7.0000000000000007E-2</v>
      </c>
      <c r="J53" s="15">
        <v>64991.8</v>
      </c>
      <c r="K53" s="5" t="s">
        <v>23</v>
      </c>
      <c r="L53" s="5" t="s">
        <v>45</v>
      </c>
      <c r="M53" s="5" t="s">
        <v>46</v>
      </c>
    </row>
    <row r="54" spans="1:13" ht="19.95" customHeight="1" x14ac:dyDescent="0.3">
      <c r="A54" s="5">
        <v>53</v>
      </c>
      <c r="B54" s="5" t="s">
        <v>210</v>
      </c>
      <c r="C54" s="5" t="s">
        <v>211</v>
      </c>
      <c r="D54" s="5" t="s">
        <v>212</v>
      </c>
      <c r="E54" s="5" t="s">
        <v>44</v>
      </c>
      <c r="F54" s="12">
        <v>45016</v>
      </c>
      <c r="G54" s="12">
        <v>45063</v>
      </c>
      <c r="H54" s="15">
        <v>44502</v>
      </c>
      <c r="I54" s="5">
        <v>0.11</v>
      </c>
      <c r="J54" s="15">
        <v>49397.22</v>
      </c>
      <c r="K54" s="5" t="s">
        <v>17</v>
      </c>
      <c r="L54" s="5" t="s">
        <v>45</v>
      </c>
      <c r="M54" s="5" t="s">
        <v>46</v>
      </c>
    </row>
    <row r="55" spans="1:13" ht="19.95" customHeight="1" x14ac:dyDescent="0.3">
      <c r="A55" s="5">
        <v>54</v>
      </c>
      <c r="B55" s="5" t="s">
        <v>213</v>
      </c>
      <c r="C55" s="5" t="s">
        <v>214</v>
      </c>
      <c r="D55" s="5" t="s">
        <v>215</v>
      </c>
      <c r="E55" s="5" t="s">
        <v>27</v>
      </c>
      <c r="F55" s="12">
        <v>45240</v>
      </c>
      <c r="G55" s="12">
        <v>45252</v>
      </c>
      <c r="H55" s="15">
        <v>51777</v>
      </c>
      <c r="I55" s="5">
        <v>0.08</v>
      </c>
      <c r="J55" s="15">
        <v>55919.16</v>
      </c>
      <c r="K55" s="5" t="s">
        <v>23</v>
      </c>
      <c r="L55" s="5" t="s">
        <v>28</v>
      </c>
      <c r="M55" s="5" t="s">
        <v>29</v>
      </c>
    </row>
    <row r="56" spans="1:13" ht="19.95" customHeight="1" x14ac:dyDescent="0.3">
      <c r="A56" s="5">
        <v>55</v>
      </c>
      <c r="B56" s="5" t="s">
        <v>216</v>
      </c>
      <c r="C56" s="5" t="s">
        <v>217</v>
      </c>
      <c r="D56" s="5" t="s">
        <v>218</v>
      </c>
      <c r="E56" s="5" t="s">
        <v>39</v>
      </c>
      <c r="F56" s="12">
        <v>44662</v>
      </c>
      <c r="G56" s="12">
        <v>44712</v>
      </c>
      <c r="H56" s="15">
        <v>40627</v>
      </c>
      <c r="I56" s="5">
        <v>0.24</v>
      </c>
      <c r="J56" s="15">
        <v>50377.48</v>
      </c>
      <c r="K56" s="5" t="s">
        <v>17</v>
      </c>
      <c r="L56" s="5" t="s">
        <v>39</v>
      </c>
      <c r="M56" s="5" t="s">
        <v>39</v>
      </c>
    </row>
    <row r="57" spans="1:13" ht="19.95" customHeight="1" x14ac:dyDescent="0.3">
      <c r="A57" s="5">
        <v>56</v>
      </c>
      <c r="B57" s="5" t="s">
        <v>219</v>
      </c>
      <c r="C57" s="5" t="s">
        <v>220</v>
      </c>
      <c r="D57" s="5" t="s">
        <v>221</v>
      </c>
      <c r="E57" s="5" t="s">
        <v>50</v>
      </c>
      <c r="F57" s="12">
        <v>44695</v>
      </c>
      <c r="G57" s="12">
        <v>44705</v>
      </c>
      <c r="H57" s="15">
        <v>38792</v>
      </c>
      <c r="I57" s="5">
        <v>0.21</v>
      </c>
      <c r="J57" s="15">
        <v>46938.32</v>
      </c>
      <c r="K57" s="5" t="s">
        <v>17</v>
      </c>
      <c r="L57" s="5" t="s">
        <v>51</v>
      </c>
      <c r="M57" s="5" t="s">
        <v>52</v>
      </c>
    </row>
    <row r="58" spans="1:13" ht="19.95" customHeight="1" x14ac:dyDescent="0.3">
      <c r="A58" s="5">
        <v>57</v>
      </c>
      <c r="B58" s="5" t="s">
        <v>222</v>
      </c>
      <c r="C58" s="5" t="s">
        <v>223</v>
      </c>
      <c r="D58" s="5" t="s">
        <v>224</v>
      </c>
      <c r="E58" s="5" t="s">
        <v>27</v>
      </c>
      <c r="F58" s="12">
        <v>45076</v>
      </c>
      <c r="G58" s="12">
        <v>45099</v>
      </c>
      <c r="H58" s="15">
        <v>73323</v>
      </c>
      <c r="I58" s="5">
        <v>0.18</v>
      </c>
      <c r="J58" s="15">
        <v>86521.14</v>
      </c>
      <c r="K58" s="5" t="s">
        <v>40</v>
      </c>
      <c r="L58" s="5" t="s">
        <v>28</v>
      </c>
      <c r="M58" s="5" t="s">
        <v>29</v>
      </c>
    </row>
    <row r="59" spans="1:13" ht="19.95" customHeight="1" x14ac:dyDescent="0.3">
      <c r="A59" s="5">
        <v>58</v>
      </c>
      <c r="B59" s="5" t="s">
        <v>225</v>
      </c>
      <c r="C59" s="5" t="s">
        <v>226</v>
      </c>
      <c r="D59" s="5" t="s">
        <v>227</v>
      </c>
      <c r="E59" s="5" t="s">
        <v>50</v>
      </c>
      <c r="F59" s="12">
        <v>44702</v>
      </c>
      <c r="G59" s="12">
        <v>44749</v>
      </c>
      <c r="H59" s="15">
        <v>73021</v>
      </c>
      <c r="I59" s="5">
        <v>0.22</v>
      </c>
      <c r="J59" s="15">
        <v>89085.62</v>
      </c>
      <c r="K59" s="5" t="s">
        <v>40</v>
      </c>
      <c r="L59" s="5" t="s">
        <v>51</v>
      </c>
      <c r="M59" s="5" t="s">
        <v>52</v>
      </c>
    </row>
    <row r="60" spans="1:13" ht="19.95" customHeight="1" x14ac:dyDescent="0.3">
      <c r="A60" s="5">
        <v>59</v>
      </c>
      <c r="B60" s="5" t="s">
        <v>228</v>
      </c>
      <c r="C60" s="5" t="s">
        <v>229</v>
      </c>
      <c r="D60" s="5" t="s">
        <v>230</v>
      </c>
      <c r="E60" s="5" t="s">
        <v>44</v>
      </c>
      <c r="F60" s="12">
        <v>45052</v>
      </c>
      <c r="G60" s="12">
        <v>45068</v>
      </c>
      <c r="H60" s="15">
        <v>38433</v>
      </c>
      <c r="I60" s="5">
        <v>0.21</v>
      </c>
      <c r="J60" s="15">
        <v>46503.93</v>
      </c>
      <c r="K60" s="5" t="s">
        <v>17</v>
      </c>
      <c r="L60" s="5" t="s">
        <v>45</v>
      </c>
      <c r="M60" s="5" t="s">
        <v>46</v>
      </c>
    </row>
    <row r="61" spans="1:13" ht="19.95" customHeight="1" x14ac:dyDescent="0.3">
      <c r="A61" s="5">
        <v>60</v>
      </c>
      <c r="B61" s="5" t="s">
        <v>231</v>
      </c>
      <c r="C61" s="5" t="s">
        <v>232</v>
      </c>
      <c r="D61" s="5" t="s">
        <v>233</v>
      </c>
      <c r="E61" s="5" t="s">
        <v>33</v>
      </c>
      <c r="F61" s="12">
        <v>45082</v>
      </c>
      <c r="G61" s="12">
        <v>45108</v>
      </c>
      <c r="H61" s="15">
        <v>73001</v>
      </c>
      <c r="I61" s="5">
        <v>0.09</v>
      </c>
      <c r="J61" s="15">
        <v>79571.09</v>
      </c>
      <c r="K61" s="5" t="s">
        <v>40</v>
      </c>
      <c r="L61" s="5" t="s">
        <v>34</v>
      </c>
      <c r="M61" s="5" t="s">
        <v>35</v>
      </c>
    </row>
    <row r="62" spans="1:13" ht="19.95" customHeight="1" x14ac:dyDescent="0.3">
      <c r="A62" s="5">
        <v>61</v>
      </c>
      <c r="B62" s="5" t="s">
        <v>352</v>
      </c>
      <c r="C62" s="5" t="s">
        <v>234</v>
      </c>
      <c r="D62" s="5" t="s">
        <v>39</v>
      </c>
      <c r="E62" s="5" t="s">
        <v>33</v>
      </c>
      <c r="F62" s="12">
        <v>45121</v>
      </c>
      <c r="G62" s="12">
        <v>45146</v>
      </c>
      <c r="H62" s="15">
        <v>41016</v>
      </c>
      <c r="I62" s="5">
        <v>0.23</v>
      </c>
      <c r="J62" s="15">
        <v>50449.68</v>
      </c>
      <c r="K62" s="5" t="s">
        <v>17</v>
      </c>
      <c r="L62" s="5" t="s">
        <v>34</v>
      </c>
      <c r="M62" s="5" t="s">
        <v>35</v>
      </c>
    </row>
    <row r="63" spans="1:13" ht="19.95" customHeight="1" x14ac:dyDescent="0.3">
      <c r="A63" s="5">
        <v>62</v>
      </c>
      <c r="B63" s="5" t="s">
        <v>235</v>
      </c>
      <c r="C63" s="5" t="s">
        <v>236</v>
      </c>
      <c r="D63" s="5" t="s">
        <v>237</v>
      </c>
      <c r="E63" s="5" t="s">
        <v>39</v>
      </c>
      <c r="F63" s="12">
        <v>45081</v>
      </c>
      <c r="G63" s="12">
        <v>45092</v>
      </c>
      <c r="H63" s="15">
        <v>53897</v>
      </c>
      <c r="I63" s="5">
        <v>0.16</v>
      </c>
      <c r="J63" s="15">
        <v>62520.52</v>
      </c>
      <c r="K63" s="5" t="s">
        <v>23</v>
      </c>
      <c r="L63" s="5" t="s">
        <v>39</v>
      </c>
      <c r="M63" s="5" t="s">
        <v>39</v>
      </c>
    </row>
    <row r="64" spans="1:13" ht="19.95" customHeight="1" x14ac:dyDescent="0.3">
      <c r="A64" s="5">
        <v>63</v>
      </c>
      <c r="B64" s="5" t="s">
        <v>238</v>
      </c>
      <c r="C64" s="5" t="s">
        <v>239</v>
      </c>
      <c r="D64" s="5" t="s">
        <v>240</v>
      </c>
      <c r="E64" s="5" t="s">
        <v>50</v>
      </c>
      <c r="F64" s="12">
        <v>44682</v>
      </c>
      <c r="G64" s="12">
        <v>44728</v>
      </c>
      <c r="H64" s="15">
        <v>32612</v>
      </c>
      <c r="I64" s="5">
        <v>0.21</v>
      </c>
      <c r="J64" s="15">
        <v>39460.519999999997</v>
      </c>
      <c r="K64" s="5" t="s">
        <v>17</v>
      </c>
      <c r="L64" s="5" t="s">
        <v>51</v>
      </c>
      <c r="M64" s="5" t="s">
        <v>52</v>
      </c>
    </row>
    <row r="65" spans="1:13" ht="19.95" customHeight="1" x14ac:dyDescent="0.3">
      <c r="A65" s="5">
        <v>64</v>
      </c>
      <c r="B65" s="5" t="s">
        <v>241</v>
      </c>
      <c r="C65" s="5" t="s">
        <v>242</v>
      </c>
      <c r="D65" s="5" t="s">
        <v>243</v>
      </c>
      <c r="E65" s="5" t="s">
        <v>50</v>
      </c>
      <c r="F65" s="12">
        <v>44906</v>
      </c>
      <c r="G65" s="12">
        <v>44932</v>
      </c>
      <c r="H65" s="15">
        <v>86193</v>
      </c>
      <c r="I65" s="5">
        <v>0.23</v>
      </c>
      <c r="J65" s="15">
        <v>106017.39</v>
      </c>
      <c r="K65" s="5" t="s">
        <v>40</v>
      </c>
      <c r="L65" s="5" t="s">
        <v>51</v>
      </c>
      <c r="M65" s="5" t="s">
        <v>52</v>
      </c>
    </row>
    <row r="66" spans="1:13" ht="19.95" customHeight="1" x14ac:dyDescent="0.3">
      <c r="A66" s="5">
        <v>65</v>
      </c>
      <c r="B66" s="5" t="s">
        <v>244</v>
      </c>
      <c r="C66" s="5" t="s">
        <v>245</v>
      </c>
      <c r="D66" s="5" t="s">
        <v>246</v>
      </c>
      <c r="E66" s="5" t="s">
        <v>44</v>
      </c>
      <c r="F66" s="12">
        <v>44654</v>
      </c>
      <c r="G66" s="12">
        <v>44705</v>
      </c>
      <c r="H66" s="15">
        <v>88707</v>
      </c>
      <c r="I66" s="5">
        <v>0.11</v>
      </c>
      <c r="J66" s="15">
        <v>98464.77</v>
      </c>
      <c r="K66" s="5" t="s">
        <v>40</v>
      </c>
      <c r="L66" s="5" t="s">
        <v>45</v>
      </c>
      <c r="M66" s="5" t="s">
        <v>46</v>
      </c>
    </row>
    <row r="67" spans="1:13" ht="19.95" customHeight="1" x14ac:dyDescent="0.3">
      <c r="A67" s="5">
        <v>66</v>
      </c>
      <c r="B67" s="5" t="s">
        <v>247</v>
      </c>
      <c r="C67" s="5" t="s">
        <v>248</v>
      </c>
      <c r="D67" s="5" t="s">
        <v>249</v>
      </c>
      <c r="E67" s="5" t="s">
        <v>33</v>
      </c>
      <c r="F67" s="12">
        <v>45266</v>
      </c>
      <c r="G67" s="12">
        <v>45289</v>
      </c>
      <c r="H67" s="15">
        <v>85387</v>
      </c>
      <c r="I67" s="5">
        <v>7.0000000000000007E-2</v>
      </c>
      <c r="J67" s="15">
        <v>91364.09</v>
      </c>
      <c r="K67" s="5" t="s">
        <v>40</v>
      </c>
      <c r="L67" s="5" t="s">
        <v>34</v>
      </c>
      <c r="M67" s="5" t="s">
        <v>35</v>
      </c>
    </row>
    <row r="68" spans="1:13" ht="19.95" customHeight="1" x14ac:dyDescent="0.3">
      <c r="A68" s="5">
        <v>67</v>
      </c>
      <c r="B68" s="5" t="s">
        <v>250</v>
      </c>
      <c r="C68" s="5" t="s">
        <v>251</v>
      </c>
      <c r="D68" s="5" t="s">
        <v>252</v>
      </c>
      <c r="E68" s="5" t="s">
        <v>39</v>
      </c>
      <c r="F68" s="12">
        <v>45333</v>
      </c>
      <c r="G68" s="12">
        <v>45344</v>
      </c>
      <c r="H68" s="15">
        <v>84638</v>
      </c>
      <c r="I68" s="5">
        <v>0.1</v>
      </c>
      <c r="J68" s="15">
        <v>93101.8</v>
      </c>
      <c r="K68" s="5" t="s">
        <v>40</v>
      </c>
      <c r="L68" s="5" t="s">
        <v>39</v>
      </c>
      <c r="M68" s="5" t="s">
        <v>39</v>
      </c>
    </row>
    <row r="69" spans="1:13" ht="19.95" customHeight="1" x14ac:dyDescent="0.3">
      <c r="A69" s="5">
        <v>68</v>
      </c>
      <c r="B69" s="5" t="s">
        <v>253</v>
      </c>
      <c r="C69" s="5" t="s">
        <v>254</v>
      </c>
      <c r="D69" s="5" t="s">
        <v>255</v>
      </c>
      <c r="E69" s="5" t="s">
        <v>44</v>
      </c>
      <c r="F69" s="12">
        <v>44982</v>
      </c>
      <c r="G69" s="12">
        <v>45015</v>
      </c>
      <c r="H69" s="15">
        <v>53483</v>
      </c>
      <c r="I69" s="5">
        <v>0.14000000000000001</v>
      </c>
      <c r="J69" s="15">
        <v>60970.62</v>
      </c>
      <c r="K69" s="5" t="s">
        <v>23</v>
      </c>
      <c r="L69" s="5" t="s">
        <v>45</v>
      </c>
      <c r="M69" s="5" t="s">
        <v>46</v>
      </c>
    </row>
    <row r="70" spans="1:13" ht="19.95" customHeight="1" x14ac:dyDescent="0.3">
      <c r="A70" s="5">
        <v>69</v>
      </c>
      <c r="B70" s="5" t="s">
        <v>256</v>
      </c>
      <c r="C70" s="5" t="s">
        <v>257</v>
      </c>
      <c r="D70" s="5" t="s">
        <v>258</v>
      </c>
      <c r="E70" s="5" t="s">
        <v>44</v>
      </c>
      <c r="F70" s="12">
        <v>44927</v>
      </c>
      <c r="G70" s="12">
        <v>44948</v>
      </c>
      <c r="H70" s="15">
        <v>88822</v>
      </c>
      <c r="I70" s="5">
        <v>0.21</v>
      </c>
      <c r="J70" s="15">
        <v>107474.62</v>
      </c>
      <c r="K70" s="5" t="s">
        <v>40</v>
      </c>
      <c r="L70" s="5" t="s">
        <v>45</v>
      </c>
      <c r="M70" s="5" t="s">
        <v>46</v>
      </c>
    </row>
    <row r="71" spans="1:13" ht="19.95" customHeight="1" x14ac:dyDescent="0.3">
      <c r="A71" s="5">
        <v>70</v>
      </c>
      <c r="B71" s="5" t="s">
        <v>259</v>
      </c>
      <c r="C71" s="5" t="s">
        <v>260</v>
      </c>
      <c r="D71" s="5" t="s">
        <v>261</v>
      </c>
      <c r="E71" s="5" t="s">
        <v>39</v>
      </c>
      <c r="F71" s="12">
        <v>44612</v>
      </c>
      <c r="G71" s="12">
        <v>44665</v>
      </c>
      <c r="H71" s="15">
        <v>78555</v>
      </c>
      <c r="I71" s="5">
        <v>0.22</v>
      </c>
      <c r="J71" s="15">
        <v>95837.1</v>
      </c>
      <c r="K71" s="5" t="s">
        <v>40</v>
      </c>
      <c r="L71" s="5" t="s">
        <v>39</v>
      </c>
      <c r="M71" s="5" t="s">
        <v>39</v>
      </c>
    </row>
    <row r="72" spans="1:13" ht="19.95" customHeight="1" x14ac:dyDescent="0.3">
      <c r="A72" s="5">
        <v>71</v>
      </c>
      <c r="B72" s="5" t="s">
        <v>262</v>
      </c>
      <c r="C72" s="5" t="s">
        <v>263</v>
      </c>
      <c r="D72" s="5" t="s">
        <v>264</v>
      </c>
      <c r="E72" s="5" t="s">
        <v>44</v>
      </c>
      <c r="F72" s="12">
        <v>45039</v>
      </c>
      <c r="G72" s="12">
        <v>45061</v>
      </c>
      <c r="H72" s="15">
        <v>89900</v>
      </c>
      <c r="I72" s="5">
        <v>0.05</v>
      </c>
      <c r="J72" s="15">
        <v>94395</v>
      </c>
      <c r="K72" s="5" t="s">
        <v>40</v>
      </c>
      <c r="L72" s="5" t="s">
        <v>45</v>
      </c>
      <c r="M72" s="5" t="s">
        <v>46</v>
      </c>
    </row>
    <row r="73" spans="1:13" ht="19.95" customHeight="1" x14ac:dyDescent="0.3">
      <c r="A73" s="5">
        <v>72</v>
      </c>
      <c r="B73" s="5" t="s">
        <v>265</v>
      </c>
      <c r="C73" s="5" t="s">
        <v>266</v>
      </c>
      <c r="D73" s="5" t="s">
        <v>267</v>
      </c>
      <c r="E73" s="5" t="s">
        <v>39</v>
      </c>
      <c r="F73" s="12">
        <v>45349</v>
      </c>
      <c r="G73" s="12">
        <v>45376</v>
      </c>
      <c r="H73" s="15">
        <v>47159</v>
      </c>
      <c r="I73" s="5">
        <v>0.15</v>
      </c>
      <c r="J73" s="15">
        <v>54232.85</v>
      </c>
      <c r="K73" s="5" t="s">
        <v>17</v>
      </c>
      <c r="L73" s="5" t="s">
        <v>39</v>
      </c>
      <c r="M73" s="5" t="s">
        <v>39</v>
      </c>
    </row>
    <row r="74" spans="1:13" ht="19.95" customHeight="1" x14ac:dyDescent="0.3">
      <c r="A74" s="5">
        <v>73</v>
      </c>
      <c r="B74" s="5" t="s">
        <v>268</v>
      </c>
      <c r="C74" s="5" t="s">
        <v>269</v>
      </c>
      <c r="D74" s="5" t="s">
        <v>270</v>
      </c>
      <c r="E74" s="5" t="s">
        <v>50</v>
      </c>
      <c r="F74" s="12">
        <v>44939</v>
      </c>
      <c r="G74" s="12">
        <v>44961</v>
      </c>
      <c r="H74" s="15">
        <v>74974</v>
      </c>
      <c r="I74" s="5">
        <v>0.13</v>
      </c>
      <c r="J74" s="15">
        <v>84720.62</v>
      </c>
      <c r="K74" s="5" t="s">
        <v>40</v>
      </c>
      <c r="L74" s="5" t="s">
        <v>51</v>
      </c>
      <c r="M74" s="5" t="s">
        <v>52</v>
      </c>
    </row>
    <row r="75" spans="1:13" ht="19.95" customHeight="1" x14ac:dyDescent="0.3">
      <c r="A75" s="5">
        <v>74</v>
      </c>
      <c r="B75" s="5" t="s">
        <v>271</v>
      </c>
      <c r="C75" s="5" t="s">
        <v>272</v>
      </c>
      <c r="D75" s="5" t="s">
        <v>273</v>
      </c>
      <c r="E75" s="5" t="s">
        <v>33</v>
      </c>
      <c r="F75" s="12">
        <v>44970</v>
      </c>
      <c r="G75" s="12">
        <v>45010</v>
      </c>
      <c r="H75" s="15">
        <v>70994</v>
      </c>
      <c r="I75" s="5">
        <v>0.09</v>
      </c>
      <c r="J75" s="15">
        <v>77383.460000000006</v>
      </c>
      <c r="K75" s="5" t="s">
        <v>40</v>
      </c>
      <c r="L75" s="5" t="s">
        <v>34</v>
      </c>
      <c r="M75" s="5" t="s">
        <v>35</v>
      </c>
    </row>
    <row r="76" spans="1:13" ht="19.95" customHeight="1" x14ac:dyDescent="0.3">
      <c r="A76" s="5">
        <v>75</v>
      </c>
      <c r="B76" s="5" t="s">
        <v>274</v>
      </c>
      <c r="C76" s="5" t="s">
        <v>275</v>
      </c>
      <c r="D76" s="5" t="s">
        <v>276</v>
      </c>
      <c r="E76" s="5" t="s">
        <v>44</v>
      </c>
      <c r="F76" s="12">
        <v>45284</v>
      </c>
      <c r="G76" s="12">
        <v>45336</v>
      </c>
      <c r="H76" s="15">
        <v>44541</v>
      </c>
      <c r="I76" s="5">
        <v>7.0000000000000007E-2</v>
      </c>
      <c r="J76" s="15">
        <v>47658.87</v>
      </c>
      <c r="K76" s="5" t="s">
        <v>17</v>
      </c>
      <c r="L76" s="5" t="s">
        <v>45</v>
      </c>
      <c r="M76" s="5" t="s">
        <v>46</v>
      </c>
    </row>
    <row r="77" spans="1:13" ht="19.95" customHeight="1" x14ac:dyDescent="0.3">
      <c r="A77" s="5">
        <v>76</v>
      </c>
      <c r="B77" s="5" t="s">
        <v>353</v>
      </c>
      <c r="C77" s="5" t="s">
        <v>277</v>
      </c>
      <c r="D77" s="5" t="s">
        <v>39</v>
      </c>
      <c r="E77" s="5" t="s">
        <v>44</v>
      </c>
      <c r="F77" s="12">
        <v>44992</v>
      </c>
      <c r="G77" s="12">
        <v>45011</v>
      </c>
      <c r="H77" s="15">
        <v>65920</v>
      </c>
      <c r="I77" s="5">
        <v>0.12</v>
      </c>
      <c r="J77" s="15">
        <v>73830.399999999994</v>
      </c>
      <c r="K77" s="5" t="s">
        <v>23</v>
      </c>
      <c r="L77" s="5" t="s">
        <v>45</v>
      </c>
      <c r="M77" s="5" t="s">
        <v>46</v>
      </c>
    </row>
    <row r="78" spans="1:13" ht="19.95" customHeight="1" x14ac:dyDescent="0.3">
      <c r="A78" s="5">
        <v>77</v>
      </c>
      <c r="B78" s="5" t="s">
        <v>278</v>
      </c>
      <c r="C78" s="5" t="s">
        <v>279</v>
      </c>
      <c r="D78" s="5" t="s">
        <v>280</v>
      </c>
      <c r="E78" s="5" t="s">
        <v>33</v>
      </c>
      <c r="F78" s="12">
        <v>45061</v>
      </c>
      <c r="G78" s="12">
        <v>45095</v>
      </c>
      <c r="H78" s="15">
        <v>56531</v>
      </c>
      <c r="I78" s="5">
        <v>0.24</v>
      </c>
      <c r="J78" s="15">
        <v>70098.44</v>
      </c>
      <c r="K78" s="5" t="s">
        <v>23</v>
      </c>
      <c r="L78" s="5" t="s">
        <v>34</v>
      </c>
      <c r="M78" s="5" t="s">
        <v>35</v>
      </c>
    </row>
    <row r="79" spans="1:13" ht="19.95" customHeight="1" x14ac:dyDescent="0.3">
      <c r="A79" s="5">
        <v>78</v>
      </c>
      <c r="B79" s="5" t="s">
        <v>281</v>
      </c>
      <c r="C79" s="5" t="s">
        <v>282</v>
      </c>
      <c r="D79" s="5" t="s">
        <v>283</v>
      </c>
      <c r="E79" s="5" t="s">
        <v>50</v>
      </c>
      <c r="F79" s="12">
        <v>45326</v>
      </c>
      <c r="G79" s="12">
        <v>45382</v>
      </c>
      <c r="H79" s="15">
        <v>31585</v>
      </c>
      <c r="I79" s="5">
        <v>0.11</v>
      </c>
      <c r="J79" s="15">
        <v>35059.35</v>
      </c>
      <c r="K79" s="5" t="s">
        <v>17</v>
      </c>
      <c r="L79" s="5" t="s">
        <v>51</v>
      </c>
      <c r="M79" s="5" t="s">
        <v>52</v>
      </c>
    </row>
    <row r="80" spans="1:13" ht="19.95" customHeight="1" x14ac:dyDescent="0.3">
      <c r="A80" s="5">
        <v>79</v>
      </c>
      <c r="B80" s="5" t="s">
        <v>284</v>
      </c>
      <c r="C80" s="5" t="s">
        <v>285</v>
      </c>
      <c r="D80" s="5" t="s">
        <v>286</v>
      </c>
      <c r="E80" s="5" t="s">
        <v>27</v>
      </c>
      <c r="F80" s="12">
        <v>45059</v>
      </c>
      <c r="G80" s="12">
        <v>45113</v>
      </c>
      <c r="H80" s="15">
        <v>33943</v>
      </c>
      <c r="I80" s="5">
        <v>0.15</v>
      </c>
      <c r="J80" s="15">
        <v>39034.449999999997</v>
      </c>
      <c r="K80" s="5" t="s">
        <v>17</v>
      </c>
      <c r="L80" s="5" t="s">
        <v>28</v>
      </c>
      <c r="M80" s="5" t="s">
        <v>29</v>
      </c>
    </row>
    <row r="81" spans="1:13" ht="19.95" customHeight="1" x14ac:dyDescent="0.3">
      <c r="A81" s="5">
        <v>80</v>
      </c>
      <c r="B81" s="5" t="s">
        <v>287</v>
      </c>
      <c r="C81" s="5" t="s">
        <v>288</v>
      </c>
      <c r="D81" s="5" t="s">
        <v>289</v>
      </c>
      <c r="E81" s="5" t="s">
        <v>50</v>
      </c>
      <c r="F81" s="12">
        <v>44569</v>
      </c>
      <c r="G81" s="12">
        <v>44594</v>
      </c>
      <c r="H81" s="15">
        <v>53939</v>
      </c>
      <c r="I81" s="5">
        <v>0.19</v>
      </c>
      <c r="J81" s="15">
        <v>64187.41</v>
      </c>
      <c r="K81" s="5" t="s">
        <v>23</v>
      </c>
      <c r="L81" s="5" t="s">
        <v>51</v>
      </c>
      <c r="M81" s="5" t="s">
        <v>52</v>
      </c>
    </row>
    <row r="82" spans="1:13" ht="19.95" customHeight="1" x14ac:dyDescent="0.3">
      <c r="A82" s="5">
        <v>81</v>
      </c>
      <c r="B82" s="5" t="s">
        <v>290</v>
      </c>
      <c r="C82" s="5" t="s">
        <v>291</v>
      </c>
      <c r="D82" s="5" t="s">
        <v>292</v>
      </c>
      <c r="E82" s="5" t="s">
        <v>44</v>
      </c>
      <c r="F82" s="12">
        <v>45226</v>
      </c>
      <c r="G82" s="12">
        <v>45239</v>
      </c>
      <c r="H82" s="15">
        <v>49457</v>
      </c>
      <c r="I82" s="5">
        <v>0.12</v>
      </c>
      <c r="J82" s="15">
        <v>55391.839999999997</v>
      </c>
      <c r="K82" s="5" t="s">
        <v>17</v>
      </c>
      <c r="L82" s="5" t="s">
        <v>45</v>
      </c>
      <c r="M82" s="5" t="s">
        <v>46</v>
      </c>
    </row>
    <row r="83" spans="1:13" ht="19.95" customHeight="1" x14ac:dyDescent="0.3">
      <c r="A83" s="5">
        <v>82</v>
      </c>
      <c r="B83" s="5" t="s">
        <v>293</v>
      </c>
      <c r="C83" s="5" t="s">
        <v>294</v>
      </c>
      <c r="D83" s="5" t="s">
        <v>295</v>
      </c>
      <c r="E83" s="5" t="s">
        <v>27</v>
      </c>
      <c r="F83" s="12">
        <v>44708</v>
      </c>
      <c r="G83" s="12">
        <v>44764</v>
      </c>
      <c r="H83" s="15">
        <v>31021</v>
      </c>
      <c r="I83" s="5">
        <v>0.24</v>
      </c>
      <c r="J83" s="15">
        <v>38466.04</v>
      </c>
      <c r="K83" s="5" t="s">
        <v>17</v>
      </c>
      <c r="L83" s="5" t="s">
        <v>28</v>
      </c>
      <c r="M83" s="5" t="s">
        <v>29</v>
      </c>
    </row>
    <row r="84" spans="1:13" ht="19.95" customHeight="1" x14ac:dyDescent="0.3">
      <c r="A84" s="5">
        <v>83</v>
      </c>
      <c r="B84" s="5" t="s">
        <v>296</v>
      </c>
      <c r="C84" s="5" t="s">
        <v>297</v>
      </c>
      <c r="D84" s="5" t="s">
        <v>298</v>
      </c>
      <c r="E84" s="5" t="s">
        <v>16</v>
      </c>
      <c r="F84" s="12">
        <v>44617</v>
      </c>
      <c r="G84" s="12">
        <v>44636</v>
      </c>
      <c r="H84" s="15">
        <v>41653</v>
      </c>
      <c r="I84" s="5">
        <v>0.24</v>
      </c>
      <c r="J84" s="15">
        <v>51649.72</v>
      </c>
      <c r="K84" s="5" t="s">
        <v>17</v>
      </c>
      <c r="L84" s="5" t="s">
        <v>18</v>
      </c>
      <c r="M84" s="5" t="s">
        <v>19</v>
      </c>
    </row>
    <row r="85" spans="1:13" ht="19.95" customHeight="1" x14ac:dyDescent="0.3">
      <c r="A85" s="5">
        <v>84</v>
      </c>
      <c r="B85" s="5" t="s">
        <v>299</v>
      </c>
      <c r="C85" s="5" t="s">
        <v>300</v>
      </c>
      <c r="D85" s="5" t="s">
        <v>301</v>
      </c>
      <c r="E85" s="5" t="s">
        <v>27</v>
      </c>
      <c r="F85" s="12">
        <v>44921</v>
      </c>
      <c r="G85" s="12">
        <v>44931</v>
      </c>
      <c r="H85" s="15">
        <v>73573</v>
      </c>
      <c r="I85" s="5">
        <v>0.1</v>
      </c>
      <c r="J85" s="15">
        <v>80930.3</v>
      </c>
      <c r="K85" s="5" t="s">
        <v>40</v>
      </c>
      <c r="L85" s="5" t="s">
        <v>28</v>
      </c>
      <c r="M85" s="5" t="s">
        <v>29</v>
      </c>
    </row>
    <row r="86" spans="1:13" ht="19.95" customHeight="1" x14ac:dyDescent="0.3">
      <c r="A86" s="5">
        <v>85</v>
      </c>
      <c r="B86" s="5" t="s">
        <v>302</v>
      </c>
      <c r="C86" s="5" t="s">
        <v>303</v>
      </c>
      <c r="D86" s="5" t="s">
        <v>304</v>
      </c>
      <c r="E86" s="5" t="s">
        <v>39</v>
      </c>
      <c r="F86" s="12">
        <v>45319</v>
      </c>
      <c r="G86" s="12">
        <v>45378</v>
      </c>
      <c r="H86" s="15">
        <v>43417</v>
      </c>
      <c r="I86" s="5">
        <v>0.15</v>
      </c>
      <c r="J86" s="15">
        <v>49929.55</v>
      </c>
      <c r="K86" s="5" t="s">
        <v>17</v>
      </c>
      <c r="L86" s="5" t="s">
        <v>39</v>
      </c>
      <c r="M86" s="5" t="s">
        <v>39</v>
      </c>
    </row>
    <row r="87" spans="1:13" ht="19.95" customHeight="1" x14ac:dyDescent="0.3">
      <c r="A87" s="5">
        <v>86</v>
      </c>
      <c r="B87" s="5" t="s">
        <v>305</v>
      </c>
      <c r="C87" s="5" t="s">
        <v>306</v>
      </c>
      <c r="D87" s="5" t="s">
        <v>307</v>
      </c>
      <c r="E87" s="5" t="s">
        <v>44</v>
      </c>
      <c r="F87" s="12">
        <v>44929</v>
      </c>
      <c r="G87" s="12">
        <v>44941</v>
      </c>
      <c r="H87" s="15">
        <v>82995</v>
      </c>
      <c r="I87" s="5">
        <v>0.11</v>
      </c>
      <c r="J87" s="15">
        <v>92124.45</v>
      </c>
      <c r="K87" s="5" t="s">
        <v>40</v>
      </c>
      <c r="L87" s="5" t="s">
        <v>45</v>
      </c>
      <c r="M87" s="5" t="s">
        <v>46</v>
      </c>
    </row>
    <row r="88" spans="1:13" ht="19.95" customHeight="1" x14ac:dyDescent="0.3">
      <c r="A88" s="5">
        <v>87</v>
      </c>
      <c r="B88" s="5" t="s">
        <v>308</v>
      </c>
      <c r="C88" s="5" t="s">
        <v>309</v>
      </c>
      <c r="D88" s="5" t="s">
        <v>310</v>
      </c>
      <c r="E88" s="5" t="s">
        <v>44</v>
      </c>
      <c r="F88" s="12">
        <v>45151</v>
      </c>
      <c r="G88" s="12">
        <v>45166</v>
      </c>
      <c r="H88" s="15">
        <v>70757</v>
      </c>
      <c r="I88" s="5">
        <v>0.11</v>
      </c>
      <c r="J88" s="15">
        <v>78540.27</v>
      </c>
      <c r="K88" s="5" t="s">
        <v>40</v>
      </c>
      <c r="L88" s="5" t="s">
        <v>45</v>
      </c>
      <c r="M88" s="5" t="s">
        <v>46</v>
      </c>
    </row>
    <row r="89" spans="1:13" ht="19.95" customHeight="1" x14ac:dyDescent="0.3">
      <c r="A89" s="5">
        <v>88</v>
      </c>
      <c r="B89" s="5" t="s">
        <v>311</v>
      </c>
      <c r="C89" s="5" t="s">
        <v>312</v>
      </c>
      <c r="D89" s="5" t="s">
        <v>313</v>
      </c>
      <c r="E89" s="5" t="s">
        <v>44</v>
      </c>
      <c r="F89" s="12">
        <v>45110</v>
      </c>
      <c r="G89" s="12">
        <v>45165</v>
      </c>
      <c r="H89" s="15">
        <v>39692</v>
      </c>
      <c r="I89" s="5">
        <v>0.06</v>
      </c>
      <c r="J89" s="15">
        <v>42073.52</v>
      </c>
      <c r="K89" s="5" t="s">
        <v>17</v>
      </c>
      <c r="L89" s="5" t="s">
        <v>45</v>
      </c>
      <c r="M89" s="5" t="s">
        <v>46</v>
      </c>
    </row>
    <row r="90" spans="1:13" ht="19.95" customHeight="1" x14ac:dyDescent="0.3">
      <c r="A90" s="5">
        <v>89</v>
      </c>
      <c r="B90" s="5" t="s">
        <v>314</v>
      </c>
      <c r="C90" s="5" t="s">
        <v>315</v>
      </c>
      <c r="D90" s="5" t="s">
        <v>316</v>
      </c>
      <c r="E90" s="5" t="s">
        <v>44</v>
      </c>
      <c r="F90" s="12">
        <v>45059</v>
      </c>
      <c r="G90" s="12">
        <v>45089</v>
      </c>
      <c r="H90" s="15">
        <v>75758</v>
      </c>
      <c r="I90" s="5">
        <v>0.17</v>
      </c>
      <c r="J90" s="15">
        <v>88636.86</v>
      </c>
      <c r="K90" s="5" t="s">
        <v>40</v>
      </c>
      <c r="L90" s="5" t="s">
        <v>45</v>
      </c>
      <c r="M90" s="5" t="s">
        <v>46</v>
      </c>
    </row>
    <row r="91" spans="1:13" ht="19.95" customHeight="1" x14ac:dyDescent="0.3">
      <c r="A91" s="5">
        <v>90</v>
      </c>
      <c r="B91" s="5" t="s">
        <v>317</v>
      </c>
      <c r="C91" s="5" t="s">
        <v>318</v>
      </c>
      <c r="D91" s="5" t="s">
        <v>319</v>
      </c>
      <c r="E91" s="5" t="s">
        <v>39</v>
      </c>
      <c r="F91" s="12">
        <v>45086</v>
      </c>
      <c r="G91" s="12">
        <v>45120</v>
      </c>
      <c r="H91" s="15">
        <v>36873</v>
      </c>
      <c r="I91" s="5">
        <v>0.15</v>
      </c>
      <c r="J91" s="15">
        <v>42403.95</v>
      </c>
      <c r="K91" s="5" t="s">
        <v>17</v>
      </c>
      <c r="L91" s="5" t="s">
        <v>39</v>
      </c>
      <c r="M91" s="5" t="s">
        <v>39</v>
      </c>
    </row>
    <row r="92" spans="1:13" ht="19.95" customHeight="1" x14ac:dyDescent="0.3">
      <c r="A92" s="5">
        <v>91</v>
      </c>
      <c r="B92" s="5" t="s">
        <v>354</v>
      </c>
      <c r="C92" s="5" t="s">
        <v>320</v>
      </c>
      <c r="D92" s="5" t="s">
        <v>39</v>
      </c>
      <c r="E92" s="5" t="s">
        <v>16</v>
      </c>
      <c r="F92" s="12">
        <v>45298</v>
      </c>
      <c r="G92" s="12">
        <v>45323</v>
      </c>
      <c r="H92" s="15">
        <v>35675</v>
      </c>
      <c r="I92" s="5">
        <v>0.06</v>
      </c>
      <c r="J92" s="15">
        <v>37815.5</v>
      </c>
      <c r="K92" s="5" t="s">
        <v>17</v>
      </c>
      <c r="L92" s="5" t="s">
        <v>18</v>
      </c>
      <c r="M92" s="5" t="s">
        <v>19</v>
      </c>
    </row>
    <row r="93" spans="1:13" ht="19.95" customHeight="1" x14ac:dyDescent="0.3">
      <c r="A93" s="5">
        <v>92</v>
      </c>
      <c r="B93" s="5" t="s">
        <v>321</v>
      </c>
      <c r="C93" s="5" t="s">
        <v>322</v>
      </c>
      <c r="D93" s="5" t="s">
        <v>323</v>
      </c>
      <c r="E93" s="5" t="s">
        <v>50</v>
      </c>
      <c r="F93" s="12">
        <v>45127</v>
      </c>
      <c r="G93" s="12">
        <v>45173</v>
      </c>
      <c r="H93" s="15">
        <v>30161</v>
      </c>
      <c r="I93" s="5">
        <v>0.11</v>
      </c>
      <c r="J93" s="15">
        <v>33478.71</v>
      </c>
      <c r="K93" s="5" t="s">
        <v>17</v>
      </c>
      <c r="L93" s="5" t="s">
        <v>51</v>
      </c>
      <c r="M93" s="5" t="s">
        <v>52</v>
      </c>
    </row>
    <row r="94" spans="1:13" ht="19.95" customHeight="1" x14ac:dyDescent="0.3">
      <c r="A94" s="5">
        <v>93</v>
      </c>
      <c r="B94" s="5" t="s">
        <v>324</v>
      </c>
      <c r="C94" s="5" t="s">
        <v>325</v>
      </c>
      <c r="D94" s="5" t="s">
        <v>326</v>
      </c>
      <c r="E94" s="5" t="s">
        <v>44</v>
      </c>
      <c r="F94" s="12">
        <v>45150</v>
      </c>
      <c r="G94" s="12">
        <v>45194</v>
      </c>
      <c r="H94" s="15">
        <v>67065</v>
      </c>
      <c r="I94" s="5">
        <v>0.23</v>
      </c>
      <c r="J94" s="15">
        <v>82489.95</v>
      </c>
      <c r="K94" s="5" t="s">
        <v>23</v>
      </c>
      <c r="L94" s="5" t="s">
        <v>45</v>
      </c>
      <c r="M94" s="5" t="s">
        <v>46</v>
      </c>
    </row>
    <row r="95" spans="1:13" ht="19.95" customHeight="1" x14ac:dyDescent="0.3">
      <c r="A95" s="5">
        <v>94</v>
      </c>
      <c r="B95" s="5" t="s">
        <v>327</v>
      </c>
      <c r="C95" s="5" t="s">
        <v>328</v>
      </c>
      <c r="D95" s="5" t="s">
        <v>329</v>
      </c>
      <c r="E95" s="5" t="s">
        <v>33</v>
      </c>
      <c r="F95" s="12">
        <v>44615</v>
      </c>
      <c r="G95" s="12">
        <v>44663</v>
      </c>
      <c r="H95" s="15">
        <v>56557</v>
      </c>
      <c r="I95" s="5">
        <v>0.1</v>
      </c>
      <c r="J95" s="15">
        <v>62212.7</v>
      </c>
      <c r="K95" s="5" t="s">
        <v>23</v>
      </c>
      <c r="L95" s="5" t="s">
        <v>34</v>
      </c>
      <c r="M95" s="5" t="s">
        <v>35</v>
      </c>
    </row>
    <row r="96" spans="1:13" ht="19.95" customHeight="1" x14ac:dyDescent="0.3">
      <c r="A96" s="5">
        <v>95</v>
      </c>
      <c r="B96" s="5" t="s">
        <v>330</v>
      </c>
      <c r="C96" s="5" t="s">
        <v>331</v>
      </c>
      <c r="D96" s="5" t="s">
        <v>332</v>
      </c>
      <c r="E96" s="5" t="s">
        <v>44</v>
      </c>
      <c r="F96" s="12">
        <v>45348</v>
      </c>
      <c r="G96" s="12">
        <v>45394</v>
      </c>
      <c r="H96" s="15">
        <v>63763</v>
      </c>
      <c r="I96" s="5">
        <v>0.08</v>
      </c>
      <c r="J96" s="15">
        <v>68864.039999999994</v>
      </c>
      <c r="K96" s="5" t="s">
        <v>23</v>
      </c>
      <c r="L96" s="5" t="s">
        <v>45</v>
      </c>
      <c r="M96" s="5" t="s">
        <v>46</v>
      </c>
    </row>
    <row r="97" spans="1:13" ht="19.95" customHeight="1" x14ac:dyDescent="0.3">
      <c r="A97" s="5">
        <v>96</v>
      </c>
      <c r="B97" s="5" t="s">
        <v>333</v>
      </c>
      <c r="C97" s="5" t="s">
        <v>334</v>
      </c>
      <c r="D97" s="5" t="s">
        <v>335</v>
      </c>
      <c r="E97" s="5" t="s">
        <v>44</v>
      </c>
      <c r="F97" s="12">
        <v>44871</v>
      </c>
      <c r="G97" s="12">
        <v>44895</v>
      </c>
      <c r="H97" s="15">
        <v>62606</v>
      </c>
      <c r="I97" s="5">
        <v>0.15</v>
      </c>
      <c r="J97" s="15">
        <v>71996.899999999994</v>
      </c>
      <c r="K97" s="5" t="s">
        <v>23</v>
      </c>
      <c r="L97" s="5" t="s">
        <v>45</v>
      </c>
      <c r="M97" s="5" t="s">
        <v>46</v>
      </c>
    </row>
    <row r="98" spans="1:13" ht="19.95" customHeight="1" x14ac:dyDescent="0.3">
      <c r="A98" s="5">
        <v>97</v>
      </c>
      <c r="B98" s="5" t="s">
        <v>336</v>
      </c>
      <c r="C98" s="5" t="s">
        <v>337</v>
      </c>
      <c r="D98" s="5" t="s">
        <v>338</v>
      </c>
      <c r="E98" s="5" t="s">
        <v>39</v>
      </c>
      <c r="F98" s="12">
        <v>44648</v>
      </c>
      <c r="G98" s="12">
        <v>44659</v>
      </c>
      <c r="H98" s="15">
        <v>41534</v>
      </c>
      <c r="I98" s="5">
        <v>0.25</v>
      </c>
      <c r="J98" s="15">
        <v>51917.5</v>
      </c>
      <c r="K98" s="5" t="s">
        <v>17</v>
      </c>
      <c r="L98" s="5" t="s">
        <v>39</v>
      </c>
      <c r="M98" s="5" t="s">
        <v>39</v>
      </c>
    </row>
    <row r="99" spans="1:13" ht="19.95" customHeight="1" x14ac:dyDescent="0.3">
      <c r="A99" s="5">
        <v>98</v>
      </c>
      <c r="B99" s="5" t="s">
        <v>339</v>
      </c>
      <c r="C99" s="5" t="s">
        <v>340</v>
      </c>
      <c r="D99" s="5" t="s">
        <v>341</v>
      </c>
      <c r="E99" s="5" t="s">
        <v>39</v>
      </c>
      <c r="F99" s="12">
        <v>45097</v>
      </c>
      <c r="G99" s="12">
        <v>45137</v>
      </c>
      <c r="H99" s="15">
        <v>59127</v>
      </c>
      <c r="I99" s="5">
        <v>0.1</v>
      </c>
      <c r="J99" s="15">
        <v>65039.7</v>
      </c>
      <c r="K99" s="5" t="s">
        <v>23</v>
      </c>
      <c r="L99" s="5" t="s">
        <v>39</v>
      </c>
      <c r="M99" s="5" t="s">
        <v>39</v>
      </c>
    </row>
    <row r="100" spans="1:13" ht="19.95" customHeight="1" x14ac:dyDescent="0.3">
      <c r="A100" s="5">
        <v>99</v>
      </c>
      <c r="B100" s="5" t="s">
        <v>342</v>
      </c>
      <c r="C100" s="5" t="s">
        <v>343</v>
      </c>
      <c r="D100" s="5" t="s">
        <v>344</v>
      </c>
      <c r="E100" s="5" t="s">
        <v>27</v>
      </c>
      <c r="F100" s="12">
        <v>45290</v>
      </c>
      <c r="G100" s="12">
        <v>45311</v>
      </c>
      <c r="H100" s="15">
        <v>70397</v>
      </c>
      <c r="I100" s="5">
        <v>0.18</v>
      </c>
      <c r="J100" s="15">
        <v>83068.460000000006</v>
      </c>
      <c r="K100" s="5" t="s">
        <v>40</v>
      </c>
      <c r="L100" s="5" t="s">
        <v>28</v>
      </c>
      <c r="M100" s="5" t="s">
        <v>29</v>
      </c>
    </row>
    <row r="101" spans="1:13" ht="19.95" customHeight="1" x14ac:dyDescent="0.3">
      <c r="A101" s="5">
        <v>100</v>
      </c>
      <c r="B101" s="5" t="s">
        <v>345</v>
      </c>
      <c r="C101" s="5" t="s">
        <v>346</v>
      </c>
      <c r="D101" s="5" t="s">
        <v>347</v>
      </c>
      <c r="E101" s="5" t="s">
        <v>44</v>
      </c>
      <c r="F101" s="12">
        <v>45119</v>
      </c>
      <c r="G101" s="12">
        <v>45140</v>
      </c>
      <c r="H101" s="15">
        <v>55851</v>
      </c>
      <c r="I101" s="5">
        <v>0.2</v>
      </c>
      <c r="J101" s="15">
        <v>67021.2</v>
      </c>
      <c r="K101" s="5" t="s">
        <v>23</v>
      </c>
      <c r="L101" s="5" t="s">
        <v>45</v>
      </c>
      <c r="M101" s="5" t="s">
        <v>46</v>
      </c>
    </row>
    <row r="102" spans="1:13" ht="19.95" customHeight="1" x14ac:dyDescent="0.3">
      <c r="A102" s="5">
        <v>101</v>
      </c>
      <c r="B102" s="5" t="s">
        <v>13</v>
      </c>
      <c r="C102" s="5" t="s">
        <v>14</v>
      </c>
      <c r="D102" s="5" t="s">
        <v>15</v>
      </c>
      <c r="E102" s="5" t="s">
        <v>16</v>
      </c>
      <c r="F102" s="12">
        <v>45329</v>
      </c>
      <c r="G102" s="12">
        <v>45483</v>
      </c>
      <c r="H102" s="15">
        <v>44688</v>
      </c>
      <c r="I102" s="5">
        <v>0.21</v>
      </c>
      <c r="J102" s="15">
        <v>54072.480000000003</v>
      </c>
      <c r="K102" s="5" t="s">
        <v>17</v>
      </c>
      <c r="L102" s="5" t="s">
        <v>18</v>
      </c>
      <c r="M102" s="5" t="s">
        <v>19</v>
      </c>
    </row>
    <row r="103" spans="1:13" ht="19.95" customHeight="1" x14ac:dyDescent="0.3">
      <c r="A103" s="5">
        <v>102</v>
      </c>
      <c r="B103" s="5" t="s">
        <v>20</v>
      </c>
      <c r="C103" s="5" t="s">
        <v>21</v>
      </c>
      <c r="D103" s="5" t="s">
        <v>22</v>
      </c>
      <c r="E103" s="5" t="s">
        <v>16</v>
      </c>
      <c r="F103" s="12">
        <v>45299</v>
      </c>
      <c r="G103" s="12">
        <v>45486</v>
      </c>
      <c r="H103" s="15">
        <v>69157</v>
      </c>
      <c r="I103" s="5">
        <v>0.15</v>
      </c>
      <c r="J103" s="15">
        <v>79530.55</v>
      </c>
      <c r="K103" s="5" t="s">
        <v>23</v>
      </c>
      <c r="L103" s="5" t="s">
        <v>18</v>
      </c>
      <c r="M103" s="5" t="s">
        <v>19</v>
      </c>
    </row>
    <row r="104" spans="1:13" ht="19.95" customHeight="1" x14ac:dyDescent="0.3">
      <c r="A104" s="5">
        <v>103</v>
      </c>
      <c r="B104" s="5" t="s">
        <v>24</v>
      </c>
      <c r="C104" s="5" t="s">
        <v>25</v>
      </c>
      <c r="D104" s="5" t="s">
        <v>26</v>
      </c>
      <c r="E104" s="5" t="s">
        <v>27</v>
      </c>
      <c r="F104" s="12">
        <v>45453</v>
      </c>
      <c r="G104" s="12">
        <v>45475</v>
      </c>
      <c r="H104" s="15">
        <v>57342</v>
      </c>
      <c r="I104" s="5">
        <v>0.08</v>
      </c>
      <c r="J104" s="15">
        <v>61929.36</v>
      </c>
      <c r="K104" s="5" t="s">
        <v>23</v>
      </c>
      <c r="L104" s="5" t="s">
        <v>28</v>
      </c>
      <c r="M104" s="5" t="s">
        <v>29</v>
      </c>
    </row>
    <row r="105" spans="1:13" ht="19.95" customHeight="1" x14ac:dyDescent="0.3">
      <c r="A105" s="5">
        <v>104</v>
      </c>
      <c r="B105" s="5" t="s">
        <v>30</v>
      </c>
      <c r="C105" s="5" t="s">
        <v>31</v>
      </c>
      <c r="D105" s="5" t="s">
        <v>32</v>
      </c>
      <c r="E105" s="5" t="s">
        <v>33</v>
      </c>
      <c r="F105" s="12">
        <v>45303</v>
      </c>
      <c r="G105" s="12">
        <v>45498</v>
      </c>
      <c r="H105" s="15">
        <v>34327</v>
      </c>
      <c r="I105" s="5">
        <v>0.19</v>
      </c>
      <c r="J105" s="15">
        <v>40849.129999999997</v>
      </c>
      <c r="K105" s="5" t="s">
        <v>17</v>
      </c>
      <c r="L105" s="5" t="s">
        <v>34</v>
      </c>
      <c r="M105" s="5" t="s">
        <v>35</v>
      </c>
    </row>
    <row r="106" spans="1:13" ht="19.95" customHeight="1" x14ac:dyDescent="0.3">
      <c r="A106" s="5">
        <v>105</v>
      </c>
      <c r="B106" s="5" t="s">
        <v>36</v>
      </c>
      <c r="C106" s="5" t="s">
        <v>37</v>
      </c>
      <c r="D106" s="5" t="s">
        <v>38</v>
      </c>
      <c r="E106" s="5" t="s">
        <v>39</v>
      </c>
      <c r="F106" s="12">
        <v>45384</v>
      </c>
      <c r="G106" s="12">
        <v>45479</v>
      </c>
      <c r="H106" s="15">
        <v>72772</v>
      </c>
      <c r="I106" s="5">
        <v>0.22</v>
      </c>
      <c r="J106" s="15">
        <v>88781.84</v>
      </c>
      <c r="K106" s="5" t="s">
        <v>40</v>
      </c>
      <c r="L106" s="5" t="s">
        <v>39</v>
      </c>
      <c r="M106" s="5" t="s">
        <v>39</v>
      </c>
    </row>
    <row r="107" spans="1:13" ht="19.95" customHeight="1" x14ac:dyDescent="0.3">
      <c r="A107" s="5">
        <v>106</v>
      </c>
      <c r="B107" s="5" t="s">
        <v>41</v>
      </c>
      <c r="C107" s="5" t="s">
        <v>42</v>
      </c>
      <c r="D107" s="5" t="s">
        <v>43</v>
      </c>
      <c r="E107" s="5" t="s">
        <v>44</v>
      </c>
      <c r="F107" s="12">
        <v>45410</v>
      </c>
      <c r="G107" s="12">
        <v>45497</v>
      </c>
      <c r="H107" s="15">
        <v>72545</v>
      </c>
      <c r="I107" s="5">
        <v>0.12</v>
      </c>
      <c r="J107" s="15">
        <v>81250.399999999994</v>
      </c>
      <c r="K107" s="5" t="s">
        <v>40</v>
      </c>
      <c r="L107" s="5" t="s">
        <v>45</v>
      </c>
      <c r="M107" s="5" t="s">
        <v>46</v>
      </c>
    </row>
    <row r="108" spans="1:13" ht="19.95" customHeight="1" x14ac:dyDescent="0.3">
      <c r="A108" s="5">
        <v>107</v>
      </c>
      <c r="B108" s="5" t="s">
        <v>47</v>
      </c>
      <c r="C108" s="5" t="s">
        <v>48</v>
      </c>
      <c r="D108" s="5" t="s">
        <v>49</v>
      </c>
      <c r="E108" s="5" t="s">
        <v>50</v>
      </c>
      <c r="F108" s="12">
        <v>45445</v>
      </c>
      <c r="G108" s="12">
        <v>45495</v>
      </c>
      <c r="H108" s="15">
        <v>32197</v>
      </c>
      <c r="I108" s="5">
        <v>0.09</v>
      </c>
      <c r="J108" s="15">
        <v>35094.730000000003</v>
      </c>
      <c r="K108" s="5" t="s">
        <v>17</v>
      </c>
      <c r="L108" s="5" t="s">
        <v>51</v>
      </c>
      <c r="M108" s="5" t="s">
        <v>52</v>
      </c>
    </row>
    <row r="109" spans="1:13" ht="19.95" customHeight="1" x14ac:dyDescent="0.3">
      <c r="A109" s="5">
        <v>108</v>
      </c>
      <c r="B109" s="5" t="s">
        <v>53</v>
      </c>
      <c r="C109" s="5" t="s">
        <v>54</v>
      </c>
      <c r="D109" s="5" t="s">
        <v>55</v>
      </c>
      <c r="E109" s="5" t="s">
        <v>27</v>
      </c>
      <c r="F109" s="12">
        <v>45299</v>
      </c>
      <c r="G109" s="12">
        <v>45476</v>
      </c>
      <c r="H109" s="15">
        <v>55509</v>
      </c>
      <c r="I109" s="5">
        <v>0.19</v>
      </c>
      <c r="J109" s="15">
        <v>66055.710000000006</v>
      </c>
      <c r="K109" s="5" t="s">
        <v>23</v>
      </c>
      <c r="L109" s="5" t="s">
        <v>28</v>
      </c>
      <c r="M109" s="5" t="s">
        <v>29</v>
      </c>
    </row>
    <row r="110" spans="1:13" ht="19.95" customHeight="1" x14ac:dyDescent="0.3">
      <c r="A110" s="5">
        <v>109</v>
      </c>
      <c r="B110" s="5" t="s">
        <v>56</v>
      </c>
      <c r="C110" s="5" t="s">
        <v>57</v>
      </c>
      <c r="D110" s="5" t="s">
        <v>58</v>
      </c>
      <c r="E110" s="5" t="s">
        <v>33</v>
      </c>
      <c r="F110" s="12">
        <v>45390</v>
      </c>
      <c r="G110" s="12">
        <v>45499</v>
      </c>
      <c r="H110" s="15">
        <v>66698</v>
      </c>
      <c r="I110" s="5">
        <v>0.21</v>
      </c>
      <c r="J110" s="15">
        <v>80704.58</v>
      </c>
      <c r="K110" s="5" t="s">
        <v>23</v>
      </c>
      <c r="L110" s="5" t="s">
        <v>34</v>
      </c>
      <c r="M110" s="5" t="s">
        <v>35</v>
      </c>
    </row>
    <row r="111" spans="1:13" ht="19.95" customHeight="1" x14ac:dyDescent="0.3">
      <c r="A111" s="5">
        <v>110</v>
      </c>
      <c r="B111" s="5" t="s">
        <v>59</v>
      </c>
      <c r="C111" s="5" t="s">
        <v>60</v>
      </c>
      <c r="D111" s="5" t="s">
        <v>61</v>
      </c>
      <c r="E111" s="5" t="s">
        <v>50</v>
      </c>
      <c r="F111" s="12">
        <v>45359</v>
      </c>
      <c r="G111" s="12">
        <v>45490</v>
      </c>
      <c r="H111" s="15">
        <v>47087</v>
      </c>
      <c r="I111" s="5">
        <v>0.12</v>
      </c>
      <c r="J111" s="15">
        <v>52737.440000000002</v>
      </c>
      <c r="K111" s="5" t="s">
        <v>17</v>
      </c>
      <c r="L111" s="5" t="s">
        <v>51</v>
      </c>
      <c r="M111" s="5" t="s">
        <v>52</v>
      </c>
    </row>
  </sheetData>
  <conditionalFormatting sqref="D1:E1048576">
    <cfRule type="containsText" dxfId="4" priority="5" operator="containsText" text="N/A">
      <formula>NOT(ISERROR(SEARCH("N/A",D1)))</formula>
    </cfRule>
  </conditionalFormatting>
  <conditionalFormatting sqref="K1:K1048576">
    <cfRule type="containsText" dxfId="3" priority="2" operator="containsText" text="Average">
      <formula>NOT(ISERROR(SEARCH("Average",K1)))</formula>
    </cfRule>
    <cfRule type="containsText" dxfId="2" priority="3" operator="containsText" text="Low">
      <formula>NOT(ISERROR(SEARCH("Low",K1)))</formula>
    </cfRule>
    <cfRule type="containsText" dxfId="1" priority="4" operator="containsText" text="High">
      <formula>NOT(ISERROR(SEARCH("High",K1)))</formula>
    </cfRule>
  </conditionalFormatting>
  <conditionalFormatting sqref="L1:M1048576">
    <cfRule type="containsText" dxfId="0" priority="1" operator="containsText" text="N/A">
      <formula>NOT(ISERROR(SEARCH("N/A",L1)))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FD8-B7E8-4F68-9FCF-54812D3BFB13}">
  <dimension ref="A1:M11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9.33203125" customWidth="1"/>
    <col min="2" max="2" width="17" customWidth="1"/>
    <col min="3" max="3" width="24.109375" customWidth="1"/>
    <col min="4" max="4" width="31.5546875" customWidth="1"/>
    <col min="5" max="5" width="22.6640625" customWidth="1"/>
    <col min="6" max="6" width="18.6640625" style="1" customWidth="1"/>
    <col min="7" max="7" width="20" style="1" customWidth="1"/>
    <col min="8" max="8" width="15.33203125" style="17" customWidth="1"/>
    <col min="9" max="9" width="17.33203125" customWidth="1"/>
    <col min="10" max="10" width="21.44140625" style="17" customWidth="1"/>
    <col min="11" max="11" width="21.88671875" customWidth="1"/>
    <col min="12" max="13" width="23.6640625" customWidth="1"/>
  </cols>
  <sheetData>
    <row r="1" spans="1:13" s="2" customFormat="1" ht="17.39999999999999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3" t="s">
        <v>5</v>
      </c>
      <c r="G1" s="13" t="s">
        <v>6</v>
      </c>
      <c r="H1" s="14" t="s">
        <v>7</v>
      </c>
      <c r="I1" s="3" t="s">
        <v>8</v>
      </c>
      <c r="J1" s="14" t="s">
        <v>9</v>
      </c>
      <c r="K1" s="3" t="s">
        <v>10</v>
      </c>
      <c r="L1" s="3" t="s">
        <v>11</v>
      </c>
      <c r="M1" s="3" t="s">
        <v>12</v>
      </c>
    </row>
    <row r="2" spans="1:13" ht="19.95" customHeight="1" x14ac:dyDescent="0.3">
      <c r="A2" s="5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12">
        <v>45329</v>
      </c>
      <c r="G2" s="12">
        <v>45483</v>
      </c>
      <c r="H2" s="15">
        <v>44688</v>
      </c>
      <c r="I2" s="5">
        <v>0.21</v>
      </c>
      <c r="J2" s="15">
        <v>54072.480000000003</v>
      </c>
      <c r="K2" s="5" t="s">
        <v>17</v>
      </c>
      <c r="L2" s="5" t="s">
        <v>18</v>
      </c>
      <c r="M2" s="5" t="s">
        <v>19</v>
      </c>
    </row>
    <row r="3" spans="1:13" ht="19.95" customHeight="1" x14ac:dyDescent="0.3">
      <c r="A3" s="5">
        <v>3</v>
      </c>
      <c r="B3" s="5" t="s">
        <v>20</v>
      </c>
      <c r="C3" s="5" t="s">
        <v>21</v>
      </c>
      <c r="D3" s="5" t="s">
        <v>22</v>
      </c>
      <c r="E3" s="5" t="s">
        <v>16</v>
      </c>
      <c r="F3" s="12">
        <v>45299</v>
      </c>
      <c r="G3" s="12">
        <v>45486</v>
      </c>
      <c r="H3" s="15">
        <v>69157</v>
      </c>
      <c r="I3" s="5">
        <v>0.15</v>
      </c>
      <c r="J3" s="15">
        <v>79530.55</v>
      </c>
      <c r="K3" s="5" t="s">
        <v>23</v>
      </c>
      <c r="L3" s="5" t="s">
        <v>18</v>
      </c>
      <c r="M3" s="5" t="s">
        <v>19</v>
      </c>
    </row>
    <row r="4" spans="1:13" ht="19.95" customHeight="1" x14ac:dyDescent="0.3">
      <c r="A4" s="5">
        <v>2</v>
      </c>
      <c r="B4" s="5" t="s">
        <v>24</v>
      </c>
      <c r="C4" s="5" t="s">
        <v>25</v>
      </c>
      <c r="D4" s="5" t="s">
        <v>26</v>
      </c>
      <c r="E4" s="5" t="s">
        <v>27</v>
      </c>
      <c r="F4" s="12">
        <v>45453</v>
      </c>
      <c r="G4" s="12">
        <v>45475</v>
      </c>
      <c r="H4" s="15">
        <v>57342</v>
      </c>
      <c r="I4" s="5">
        <v>0.08</v>
      </c>
      <c r="J4" s="15">
        <v>61929.36</v>
      </c>
      <c r="K4" s="5" t="s">
        <v>23</v>
      </c>
      <c r="L4" s="5" t="s">
        <v>28</v>
      </c>
      <c r="M4" s="5" t="s">
        <v>29</v>
      </c>
    </row>
    <row r="5" spans="1:13" ht="19.95" customHeight="1" x14ac:dyDescent="0.3">
      <c r="A5" s="5">
        <v>4</v>
      </c>
      <c r="B5" s="5" t="s">
        <v>30</v>
      </c>
      <c r="C5" s="5" t="s">
        <v>31</v>
      </c>
      <c r="D5" s="5" t="s">
        <v>32</v>
      </c>
      <c r="E5" s="5" t="s">
        <v>33</v>
      </c>
      <c r="F5" s="12">
        <v>45303</v>
      </c>
      <c r="G5" s="12">
        <v>45498</v>
      </c>
      <c r="H5" s="15">
        <v>34327</v>
      </c>
      <c r="I5" s="5">
        <v>0.19</v>
      </c>
      <c r="J5" s="15">
        <v>40849.129999999997</v>
      </c>
      <c r="K5" s="5" t="s">
        <v>17</v>
      </c>
      <c r="L5" s="5" t="s">
        <v>34</v>
      </c>
      <c r="M5" s="5" t="s">
        <v>35</v>
      </c>
    </row>
    <row r="6" spans="1:13" ht="19.95" customHeight="1" x14ac:dyDescent="0.3">
      <c r="A6" s="5">
        <v>5</v>
      </c>
      <c r="B6" s="5" t="s">
        <v>36</v>
      </c>
      <c r="C6" s="5" t="s">
        <v>37</v>
      </c>
      <c r="D6" s="5" t="s">
        <v>38</v>
      </c>
      <c r="E6" s="5" t="s">
        <v>39</v>
      </c>
      <c r="F6" s="12">
        <v>45384</v>
      </c>
      <c r="G6" s="12">
        <v>45479</v>
      </c>
      <c r="H6" s="15">
        <v>72772</v>
      </c>
      <c r="I6" s="5">
        <v>0.22</v>
      </c>
      <c r="J6" s="15">
        <v>88781.84</v>
      </c>
      <c r="K6" s="5" t="s">
        <v>40</v>
      </c>
      <c r="L6" s="5" t="s">
        <v>39</v>
      </c>
      <c r="M6" s="5" t="s">
        <v>39</v>
      </c>
    </row>
    <row r="7" spans="1:13" ht="19.95" customHeight="1" x14ac:dyDescent="0.3">
      <c r="A7" s="5">
        <v>6</v>
      </c>
      <c r="B7" s="5" t="s">
        <v>41</v>
      </c>
      <c r="C7" s="5" t="s">
        <v>42</v>
      </c>
      <c r="D7" s="5" t="s">
        <v>43</v>
      </c>
      <c r="E7" s="5" t="s">
        <v>44</v>
      </c>
      <c r="F7" s="12">
        <v>45410</v>
      </c>
      <c r="G7" s="12">
        <v>45497</v>
      </c>
      <c r="H7" s="15">
        <v>72545</v>
      </c>
      <c r="I7" s="5">
        <v>0.12</v>
      </c>
      <c r="J7" s="15">
        <v>81250.399999999994</v>
      </c>
      <c r="K7" s="5" t="s">
        <v>40</v>
      </c>
      <c r="L7" s="5" t="s">
        <v>45</v>
      </c>
      <c r="M7" s="5" t="s">
        <v>46</v>
      </c>
    </row>
    <row r="8" spans="1:13" ht="19.95" customHeight="1" x14ac:dyDescent="0.3">
      <c r="A8" s="5">
        <v>7</v>
      </c>
      <c r="B8" s="5" t="s">
        <v>47</v>
      </c>
      <c r="C8" s="5" t="s">
        <v>48</v>
      </c>
      <c r="D8" s="5" t="s">
        <v>49</v>
      </c>
      <c r="E8" s="5" t="s">
        <v>50</v>
      </c>
      <c r="F8" s="12">
        <v>45445</v>
      </c>
      <c r="G8" s="12">
        <v>45495</v>
      </c>
      <c r="H8" s="15">
        <v>32197</v>
      </c>
      <c r="I8" s="5">
        <v>0.09</v>
      </c>
      <c r="J8" s="15">
        <v>35094.730000000003</v>
      </c>
      <c r="K8" s="5" t="s">
        <v>17</v>
      </c>
      <c r="L8" s="5" t="s">
        <v>51</v>
      </c>
      <c r="M8" s="5" t="s">
        <v>52</v>
      </c>
    </row>
    <row r="9" spans="1:13" ht="19.95" customHeight="1" x14ac:dyDescent="0.3">
      <c r="A9" s="5">
        <v>8</v>
      </c>
      <c r="B9" s="5" t="s">
        <v>53</v>
      </c>
      <c r="C9" s="5" t="s">
        <v>54</v>
      </c>
      <c r="D9" s="5" t="s">
        <v>55</v>
      </c>
      <c r="E9" s="5" t="s">
        <v>27</v>
      </c>
      <c r="F9" s="12">
        <v>45299</v>
      </c>
      <c r="G9" s="12">
        <v>45476</v>
      </c>
      <c r="H9" s="15">
        <v>55509</v>
      </c>
      <c r="I9" s="5">
        <v>0.19</v>
      </c>
      <c r="J9" s="15">
        <v>66055.710000000006</v>
      </c>
      <c r="K9" s="5" t="s">
        <v>23</v>
      </c>
      <c r="L9" s="5" t="s">
        <v>28</v>
      </c>
      <c r="M9" s="5" t="s">
        <v>29</v>
      </c>
    </row>
    <row r="10" spans="1:13" ht="19.95" customHeight="1" x14ac:dyDescent="0.3">
      <c r="A10" s="5">
        <v>9</v>
      </c>
      <c r="B10" s="5" t="s">
        <v>56</v>
      </c>
      <c r="C10" s="5" t="s">
        <v>57</v>
      </c>
      <c r="D10" s="5" t="s">
        <v>58</v>
      </c>
      <c r="E10" s="5" t="s">
        <v>33</v>
      </c>
      <c r="F10" s="12">
        <v>45390</v>
      </c>
      <c r="G10" s="12">
        <v>45499</v>
      </c>
      <c r="H10" s="15">
        <v>66698</v>
      </c>
      <c r="I10" s="5">
        <v>0.21</v>
      </c>
      <c r="J10" s="15">
        <v>80704.58</v>
      </c>
      <c r="K10" s="5" t="s">
        <v>23</v>
      </c>
      <c r="L10" s="5" t="s">
        <v>34</v>
      </c>
      <c r="M10" s="5" t="s">
        <v>35</v>
      </c>
    </row>
    <row r="11" spans="1:13" ht="19.95" customHeight="1" x14ac:dyDescent="0.3">
      <c r="A11" s="5">
        <v>10</v>
      </c>
      <c r="B11" s="5" t="s">
        <v>59</v>
      </c>
      <c r="C11" s="5" t="s">
        <v>60</v>
      </c>
      <c r="D11" s="5" t="s">
        <v>61</v>
      </c>
      <c r="E11" s="5" t="s">
        <v>50</v>
      </c>
      <c r="F11" s="12">
        <v>45359</v>
      </c>
      <c r="G11" s="12">
        <v>45490</v>
      </c>
      <c r="H11" s="15">
        <v>47087</v>
      </c>
      <c r="I11" s="5">
        <v>0.12</v>
      </c>
      <c r="J11" s="15">
        <v>52737.440000000002</v>
      </c>
      <c r="K11" s="5" t="s">
        <v>17</v>
      </c>
      <c r="L11" s="5" t="s">
        <v>51</v>
      </c>
      <c r="M11" s="5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8BB0-7619-4130-8CFF-2634D0D1DE6D}">
  <dimension ref="A1:C6"/>
  <sheetViews>
    <sheetView zoomScale="110" zoomScaleNormal="110" workbookViewId="0">
      <selection activeCell="C3" sqref="C3"/>
    </sheetView>
  </sheetViews>
  <sheetFormatPr defaultRowHeight="14.4" x14ac:dyDescent="0.3"/>
  <cols>
    <col min="1" max="1" width="13.6640625" bestFit="1" customWidth="1"/>
    <col min="2" max="2" width="19.6640625" bestFit="1" customWidth="1"/>
    <col min="3" max="3" width="11.109375" bestFit="1" customWidth="1"/>
  </cols>
  <sheetData>
    <row r="1" spans="1:3" s="18" customFormat="1" ht="17.399999999999999" x14ac:dyDescent="0.35">
      <c r="A1" s="19" t="s">
        <v>4</v>
      </c>
      <c r="B1" s="20" t="s">
        <v>11</v>
      </c>
      <c r="C1" s="21" t="s">
        <v>12</v>
      </c>
    </row>
    <row r="2" spans="1:3" ht="15.6" x14ac:dyDescent="0.3">
      <c r="A2" s="4" t="s">
        <v>16</v>
      </c>
      <c r="B2" s="5" t="s">
        <v>18</v>
      </c>
      <c r="C2" s="6" t="s">
        <v>19</v>
      </c>
    </row>
    <row r="3" spans="1:3" ht="15.6" x14ac:dyDescent="0.3">
      <c r="A3" s="4" t="s">
        <v>27</v>
      </c>
      <c r="B3" s="5" t="s">
        <v>28</v>
      </c>
      <c r="C3" s="6" t="s">
        <v>29</v>
      </c>
    </row>
    <row r="4" spans="1:3" ht="15.6" x14ac:dyDescent="0.3">
      <c r="A4" s="4" t="s">
        <v>33</v>
      </c>
      <c r="B4" s="5" t="s">
        <v>34</v>
      </c>
      <c r="C4" s="6" t="s">
        <v>35</v>
      </c>
    </row>
    <row r="5" spans="1:3" ht="15.6" x14ac:dyDescent="0.3">
      <c r="A5" s="4" t="s">
        <v>50</v>
      </c>
      <c r="B5" s="5" t="s">
        <v>51</v>
      </c>
      <c r="C5" s="6" t="s">
        <v>52</v>
      </c>
    </row>
    <row r="6" spans="1:3" ht="15.6" x14ac:dyDescent="0.3">
      <c r="A6" s="7" t="s">
        <v>44</v>
      </c>
      <c r="B6" s="8" t="s">
        <v>45</v>
      </c>
      <c r="C6" s="9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F1C018-CDDB-4C9A-A3C8-4BB12250D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Tables</vt:lpstr>
      <vt:lpstr>Charts</vt:lpstr>
      <vt:lpstr>EmployeeTable</vt:lpstr>
      <vt:lpstr>MoreEmployees</vt:lpstr>
      <vt:lpstr>DepartmentData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Wasiq Khan</dc:creator>
  <cp:lastModifiedBy>Mohd Wasiq Khan</cp:lastModifiedBy>
  <dcterms:created xsi:type="dcterms:W3CDTF">2026-02-12T17:05:48Z</dcterms:created>
  <dcterms:modified xsi:type="dcterms:W3CDTF">2026-02-12T18:40:46Z</dcterms:modified>
</cp:coreProperties>
</file>