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73932401-1D38-44ED-B81B-AFC4D16004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E5" i="1"/>
  <c r="E6" i="1"/>
  <c r="E7" i="1"/>
  <c r="E8" i="1"/>
  <c r="E9" i="1"/>
  <c r="D5" i="1"/>
  <c r="F5" i="1" s="1"/>
  <c r="D6" i="1"/>
  <c r="F6" i="1" s="1"/>
  <c r="D7" i="1"/>
  <c r="F7" i="1" s="1"/>
  <c r="D8" i="1"/>
  <c r="F8" i="1" s="1"/>
  <c r="D9" i="1"/>
  <c r="F9" i="1" s="1"/>
  <c r="D10" i="1"/>
  <c r="F10" i="1" l="1"/>
  <c r="J9" i="1" s="1"/>
</calcChain>
</file>

<file path=xl/sharedStrings.xml><?xml version="1.0" encoding="utf-8"?>
<sst xmlns="http://schemas.openxmlformats.org/spreadsheetml/2006/main" count="23" uniqueCount="23">
  <si>
    <t>Product</t>
  </si>
  <si>
    <t>Quantity</t>
  </si>
  <si>
    <t>Unit Price</t>
  </si>
  <si>
    <t>Date Sold</t>
  </si>
  <si>
    <t>Apples</t>
  </si>
  <si>
    <t>Bananas</t>
  </si>
  <si>
    <t>Cherries</t>
  </si>
  <si>
    <t>Dates</t>
  </si>
  <si>
    <t>2024-06-01</t>
  </si>
  <si>
    <t>2024-06-02</t>
  </si>
  <si>
    <t>2024-06-03</t>
  </si>
  <si>
    <t>2024-06-04</t>
  </si>
  <si>
    <t>2024-06-05</t>
  </si>
  <si>
    <t>Blueberries</t>
  </si>
  <si>
    <t>Products Data</t>
  </si>
  <si>
    <t xml:space="preserve">Mangoes </t>
  </si>
  <si>
    <t>Total Sales</t>
  </si>
  <si>
    <t>Total Sales/Product</t>
  </si>
  <si>
    <t>Avearage Sales</t>
  </si>
  <si>
    <t>Discounted Price</t>
  </si>
  <si>
    <t>Discount %</t>
  </si>
  <si>
    <t>Net Total Sales</t>
  </si>
  <si>
    <t>Total Net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</si>
</sst>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[$-24009]m/d/yy;@"/>
    <numFmt numFmtId="169" formatCode="yyyy/mm/dd;@"/>
    <numFmt numFmtId="171" formatCode="_ [$₹-4009]\ * #,##0.00_ ;_ [$₹-4009]\ * \-#,##0.00_ ;_ [$₹-4009]\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/>
    <xf numFmtId="0" fontId="0" fillId="0" borderId="0" xfId="0" applyAlignment="1">
      <alignment horizontal="center" vertical="center"/>
    </xf>
    <xf numFmtId="168" fontId="0" fillId="0" borderId="0" xfId="0" applyNumberFormat="1"/>
    <xf numFmtId="16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1" fontId="0" fillId="0" borderId="0" xfId="0" applyNumberFormat="1" applyFont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71" fontId="0" fillId="0" borderId="0" xfId="0" applyNumberFormat="1"/>
    <xf numFmtId="171" fontId="0" fillId="0" borderId="1" xfId="0" applyNumberFormat="1" applyBorder="1"/>
    <xf numFmtId="0" fontId="3" fillId="3" borderId="1" xfId="0" applyFont="1" applyFill="1" applyBorder="1"/>
    <xf numFmtId="0" fontId="1" fillId="3" borderId="0" xfId="0" applyFont="1" applyFill="1"/>
    <xf numFmtId="171" fontId="4" fillId="0" borderId="1" xfId="0" applyNumberFormat="1" applyFont="1" applyBorder="1"/>
  </cellXfs>
  <cellStyles count="1">
    <cellStyle name="Normal" xfId="0" builtinId="0"/>
  </cellStyles>
  <dxfs count="10">
    <dxf>
      <numFmt numFmtId="171" formatCode="_ [$₹-4009]\ * #,##0.00_ ;_ [$₹-4009]\ * \-#,##0.00_ ;_ [$₹-4009]\ * &quot;-&quot;??_ ;_ @_ "/>
      <alignment horizontal="center" vertical="center" textRotation="0" wrapText="0" indent="0" justifyLastLine="0" shrinkToFit="0" readingOrder="0"/>
    </dxf>
    <dxf>
      <numFmt numFmtId="171" formatCode="_ [$₹-4009]\ * #,##0.00_ ;_ [$₹-4009]\ * \-#,##0.00_ ;_ [$₹-4009]\ * &quot;-&quot;??_ ;_ @_ "/>
      <alignment horizontal="center" vertical="center" textRotation="0" wrapText="0" indent="0" justifyLastLine="0" shrinkToFit="0" readingOrder="0"/>
    </dxf>
    <dxf>
      <numFmt numFmtId="171" formatCode="_ [$₹-4009]\ * #,##0.00_ ;_ [$₹-4009]\ * \-#,##0.00_ ;_ [$₹-4009]\ * &quot;-&quot;??_ ;_ @_ "/>
      <alignment horizontal="center" vertical="center" textRotation="0" wrapText="0" indent="0" justifyLastLine="0" shrinkToFit="0" readingOrder="0"/>
    </dxf>
    <dxf>
      <numFmt numFmtId="169" formatCode="yyyy/mm/dd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1" formatCode="_ [$₹-4009]\ * #,##0.00_ ;_ [$₹-4009]\ * \-#,##0.00_ ;_ [$₹-4009]\ * &quot;-&quot;??_ ;_ @_ 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9C0BB4-887D-4762-94BD-A8A79074E7FA}" name="Table2" displayName="Table2" ref="A4:G10" totalsRowShown="0" dataDxfId="9" headerRowBorderDxfId="7" tableBorderDxfId="8">
  <autoFilter ref="A4:G10" xr:uid="{609C0BB4-887D-4762-94BD-A8A79074E7FA}"/>
  <sortState xmlns:xlrd2="http://schemas.microsoft.com/office/spreadsheetml/2017/richdata2" ref="A5:G9">
    <sortCondition descending="1" ref="C4:C9"/>
  </sortState>
  <tableColumns count="7">
    <tableColumn id="1" xr3:uid="{2AE4B723-F265-4056-8FD5-6C5753255E30}" name="Product" dataDxfId="6"/>
    <tableColumn id="2" xr3:uid="{D5302619-2958-431B-8E62-420E96E7A99C}" name="Quantity" dataDxfId="5"/>
    <tableColumn id="3" xr3:uid="{A6BBFFA9-1F8A-4DCF-B456-6BA83C63E823}" name="Unit Price" dataDxfId="4"/>
    <tableColumn id="7" xr3:uid="{E78EA568-6F90-4FE7-AC0F-37C3292D7A23}" name="Total Sales/Product" dataDxfId="2">
      <calculatedColumnFormula>PRODUCT(Table2[[#This Row],[Quantity]:[Unit Price]])</calculatedColumnFormula>
    </tableColumn>
    <tableColumn id="9" xr3:uid="{29B6A4BD-A3BA-4B6F-A539-82AADBDDBA17}" name="Discounted Price" dataDxfId="1">
      <calculatedColumnFormula>(B5*C5*$J$11/100)</calculatedColumnFormula>
    </tableColumn>
    <tableColumn id="10" xr3:uid="{B7310D69-F104-4BA4-9431-298811ED48BD}" name="Net Total Sales" dataDxfId="0">
      <calculatedColumnFormula>D5-E5</calculatedColumnFormula>
    </tableColumn>
    <tableColumn id="4" xr3:uid="{8D92F32E-5009-4467-A838-F50758E613F1}" name="Date Sold" dataDxfId="3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zoomScale="120" zoomScaleNormal="120" workbookViewId="0">
      <pane ySplit="4" topLeftCell="A5" activePane="bottomLeft" state="frozen"/>
      <selection pane="bottomLeft" activeCell="A13" sqref="A13"/>
    </sheetView>
  </sheetViews>
  <sheetFormatPr defaultRowHeight="14.4" x14ac:dyDescent="0.3"/>
  <cols>
    <col min="1" max="1" width="17.109375" customWidth="1"/>
    <col min="2" max="2" width="15.6640625" customWidth="1"/>
    <col min="3" max="3" width="16.44140625" customWidth="1"/>
    <col min="4" max="4" width="19.88671875" bestFit="1" customWidth="1"/>
    <col min="5" max="6" width="19.88671875" customWidth="1"/>
    <col min="7" max="7" width="19" style="3" customWidth="1"/>
    <col min="9" max="9" width="13.5546875" bestFit="1" customWidth="1"/>
    <col min="10" max="10" width="11" customWidth="1"/>
  </cols>
  <sheetData>
    <row r="1" spans="1:10" s="1" customFormat="1" ht="14.4" customHeight="1" x14ac:dyDescent="0.3">
      <c r="A1" s="5" t="s">
        <v>14</v>
      </c>
      <c r="B1" s="5"/>
      <c r="C1" s="5"/>
      <c r="D1" s="5"/>
      <c r="E1" s="5"/>
      <c r="F1" s="5"/>
      <c r="G1" s="5"/>
    </row>
    <row r="2" spans="1:10" s="1" customFormat="1" ht="14.4" customHeight="1" x14ac:dyDescent="0.3">
      <c r="A2" s="5"/>
      <c r="B2" s="5"/>
      <c r="C2" s="5"/>
      <c r="D2" s="5"/>
      <c r="E2" s="5"/>
      <c r="F2" s="5"/>
      <c r="G2" s="5"/>
    </row>
    <row r="3" spans="1:10" ht="18" customHeight="1" x14ac:dyDescent="0.3">
      <c r="A3" s="5"/>
      <c r="B3" s="5"/>
      <c r="C3" s="5"/>
      <c r="D3" s="5"/>
      <c r="E3" s="5"/>
      <c r="F3" s="5"/>
      <c r="G3" s="5"/>
    </row>
    <row r="4" spans="1:10" x14ac:dyDescent="0.3">
      <c r="A4" t="s">
        <v>0</v>
      </c>
      <c r="B4" t="s">
        <v>1</v>
      </c>
      <c r="C4" t="s">
        <v>2</v>
      </c>
      <c r="D4" t="s">
        <v>17</v>
      </c>
      <c r="E4" t="s">
        <v>19</v>
      </c>
      <c r="F4" t="s">
        <v>21</v>
      </c>
      <c r="G4" t="s">
        <v>3</v>
      </c>
    </row>
    <row r="5" spans="1:10" x14ac:dyDescent="0.3">
      <c r="A5" s="2" t="s">
        <v>13</v>
      </c>
      <c r="B5" s="2">
        <v>5</v>
      </c>
      <c r="C5" s="6">
        <v>4</v>
      </c>
      <c r="D5" s="7">
        <f>PRODUCT(Table2[[#This Row],[Quantity]:[Unit Price]])</f>
        <v>20</v>
      </c>
      <c r="E5" s="7">
        <f t="shared" ref="E5:E10" si="0">(B5*C5*$J$11/100)</f>
        <v>2</v>
      </c>
      <c r="F5" s="7">
        <f t="shared" ref="F5:F10" si="1">D5-E5</f>
        <v>18</v>
      </c>
      <c r="G5" s="4" t="s">
        <v>12</v>
      </c>
    </row>
    <row r="6" spans="1:10" x14ac:dyDescent="0.3">
      <c r="A6" s="2" t="s">
        <v>6</v>
      </c>
      <c r="B6" s="2">
        <v>7</v>
      </c>
      <c r="C6" s="6">
        <v>5.5</v>
      </c>
      <c r="D6" s="7">
        <f>PRODUCT(Table2[[#This Row],[Quantity]:[Unit Price]])</f>
        <v>38.5</v>
      </c>
      <c r="E6" s="7">
        <f t="shared" si="0"/>
        <v>3.85</v>
      </c>
      <c r="F6" s="7">
        <f t="shared" si="1"/>
        <v>34.65</v>
      </c>
      <c r="G6" s="4" t="s">
        <v>10</v>
      </c>
    </row>
    <row r="7" spans="1:10" x14ac:dyDescent="0.3">
      <c r="A7" s="2" t="s">
        <v>4</v>
      </c>
      <c r="B7" s="2">
        <v>10</v>
      </c>
      <c r="C7" s="6">
        <v>2.5</v>
      </c>
      <c r="D7" s="7">
        <f>PRODUCT(Table2[[#This Row],[Quantity]:[Unit Price]])</f>
        <v>25</v>
      </c>
      <c r="E7" s="7">
        <f t="shared" si="0"/>
        <v>2.5</v>
      </c>
      <c r="F7" s="7">
        <f t="shared" si="1"/>
        <v>22.5</v>
      </c>
      <c r="G7" s="4" t="s">
        <v>8</v>
      </c>
      <c r="I7" s="10" t="s">
        <v>16</v>
      </c>
      <c r="J7" s="12">
        <v>252.5</v>
      </c>
    </row>
    <row r="8" spans="1:10" x14ac:dyDescent="0.3">
      <c r="A8" s="2" t="s">
        <v>7</v>
      </c>
      <c r="B8" s="2">
        <v>20</v>
      </c>
      <c r="C8" s="6">
        <v>1.8</v>
      </c>
      <c r="D8" s="7">
        <f>PRODUCT(Table2[[#This Row],[Quantity]:[Unit Price]])</f>
        <v>36</v>
      </c>
      <c r="E8" s="7">
        <f t="shared" si="0"/>
        <v>3.6</v>
      </c>
      <c r="F8" s="7">
        <f t="shared" si="1"/>
        <v>32.4</v>
      </c>
      <c r="G8" s="4" t="s">
        <v>11</v>
      </c>
      <c r="I8" s="10" t="s">
        <v>18</v>
      </c>
      <c r="J8" s="12">
        <v>42.083333333333336</v>
      </c>
    </row>
    <row r="9" spans="1:10" x14ac:dyDescent="0.3">
      <c r="A9" s="2" t="s">
        <v>5</v>
      </c>
      <c r="B9" s="2">
        <v>15</v>
      </c>
      <c r="C9" s="6">
        <v>1.2</v>
      </c>
      <c r="D9" s="7">
        <f>PRODUCT(Table2[[#This Row],[Quantity]:[Unit Price]])</f>
        <v>18</v>
      </c>
      <c r="E9" s="7">
        <f t="shared" si="0"/>
        <v>1.8</v>
      </c>
      <c r="F9" s="7">
        <f t="shared" si="1"/>
        <v>16.2</v>
      </c>
      <c r="G9" s="4" t="s">
        <v>9</v>
      </c>
      <c r="I9" s="10" t="s">
        <v>22</v>
      </c>
      <c r="J9" s="9">
        <f>SUM(Table2[Net Total Sales])</f>
        <v>227.25</v>
      </c>
    </row>
    <row r="10" spans="1:10" x14ac:dyDescent="0.3">
      <c r="A10" s="2" t="s">
        <v>15</v>
      </c>
      <c r="B10" s="2">
        <v>23</v>
      </c>
      <c r="C10" s="6">
        <v>5</v>
      </c>
      <c r="D10" s="7">
        <f>PRODUCT(Table2[[#This Row],[Quantity]:[Unit Price]])</f>
        <v>115</v>
      </c>
      <c r="E10" s="7">
        <f t="shared" si="0"/>
        <v>11.5</v>
      </c>
      <c r="F10" s="7">
        <f t="shared" si="1"/>
        <v>103.5</v>
      </c>
      <c r="G10" s="4">
        <v>45574</v>
      </c>
      <c r="J10" s="8"/>
    </row>
    <row r="11" spans="1:10" x14ac:dyDescent="0.3">
      <c r="I11" s="11" t="s">
        <v>20</v>
      </c>
      <c r="J11">
        <v>10</v>
      </c>
    </row>
    <row r="14" spans="1:10" x14ac:dyDescent="0.3">
      <c r="G14"/>
    </row>
  </sheetData>
  <mergeCells count="1">
    <mergeCell ref="A1:G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Mohd Wasiq Khan</cp:lastModifiedBy>
  <dcterms:created xsi:type="dcterms:W3CDTF">2025-06-25T13:41:47Z</dcterms:created>
  <dcterms:modified xsi:type="dcterms:W3CDTF">2026-02-02T13:01:36Z</dcterms:modified>
</cp:coreProperties>
</file>